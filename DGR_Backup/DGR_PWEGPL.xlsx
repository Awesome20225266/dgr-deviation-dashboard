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hidePivotFieldList="1"/>
  <mc:AlternateContent xmlns:mc="http://schemas.openxmlformats.org/markup-compatibility/2006">
    <mc:Choice Requires="x15">
      <x15ac:absPath xmlns:x15ac="http://schemas.microsoft.com/office/spreadsheetml/2010/11/ac" url="C:\Users\42050\Desktop\"/>
    </mc:Choice>
  </mc:AlternateContent>
  <xr:revisionPtr revIDLastSave="0" documentId="13_ncr:1_{BB59F3D4-D5A1-45DC-A694-4C8C888CB9E8}"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5"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65" i="23" l="1"/>
  <c r="AA1066" i="23"/>
  <c r="AA1067" i="23"/>
  <c r="AA1068"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I1068" i="23"/>
  <c r="H1068" i="23"/>
  <c r="B1068" i="23"/>
  <c r="C1068" i="23"/>
  <c r="E1068" i="23"/>
  <c r="J1068" i="23"/>
  <c r="L1068" i="23"/>
  <c r="R1068" i="23"/>
  <c r="S1068" i="23"/>
  <c r="T1068" i="23"/>
  <c r="W1068" i="23"/>
  <c r="I1067" i="23"/>
  <c r="H1067" i="23"/>
  <c r="I1066" i="23"/>
  <c r="H1066" i="23"/>
  <c r="T1065" i="23"/>
  <c r="W1065" i="23" s="1"/>
  <c r="S1065" i="23"/>
  <c r="R1065" i="23"/>
  <c r="L1065" i="23"/>
  <c r="J1065" i="23"/>
  <c r="I1065" i="23"/>
  <c r="H1065" i="23"/>
  <c r="B1066" i="23"/>
  <c r="B1067" i="23"/>
  <c r="C1066" i="23"/>
  <c r="C1067" i="23"/>
  <c r="E1066" i="23"/>
  <c r="E1067" i="23"/>
  <c r="J1066" i="23"/>
  <c r="J1067" i="23"/>
  <c r="L1066" i="23"/>
  <c r="L1067" i="23"/>
  <c r="R1066" i="23"/>
  <c r="R1067" i="23"/>
  <c r="S1066" i="23"/>
  <c r="S1067" i="23"/>
  <c r="T1066" i="23"/>
  <c r="W1066" i="23" s="1"/>
  <c r="T1067" i="23"/>
  <c r="W1067" i="23"/>
  <c r="B1065" i="23"/>
  <c r="C1065" i="23"/>
  <c r="E1065" i="23"/>
  <c r="I1064" i="23"/>
  <c r="H1064" i="23"/>
  <c r="I1063" i="23"/>
  <c r="H1063" i="23"/>
  <c r="I1062" i="23"/>
  <c r="H1062" i="23"/>
  <c r="I1061" i="23"/>
  <c r="H1061" i="23"/>
  <c r="I1060" i="23"/>
  <c r="H1060" i="23"/>
  <c r="B1064" i="23"/>
  <c r="C1064" i="23"/>
  <c r="E1064" i="23"/>
  <c r="J1064" i="23"/>
  <c r="L1064" i="23"/>
  <c r="R1064" i="23"/>
  <c r="S1064" i="23"/>
  <c r="T1064" i="23"/>
  <c r="B1063" i="23"/>
  <c r="C1063" i="23"/>
  <c r="E1063" i="23"/>
  <c r="J1063" i="23"/>
  <c r="L1063" i="23"/>
  <c r="R1063" i="23"/>
  <c r="S1063" i="23"/>
  <c r="T1063" i="23"/>
  <c r="AA1063" i="23" s="1"/>
  <c r="W1063" i="23"/>
  <c r="B1062" i="23"/>
  <c r="C1062" i="23"/>
  <c r="E1062" i="23"/>
  <c r="J1062" i="23"/>
  <c r="L1062" i="23"/>
  <c r="R1062" i="23"/>
  <c r="S1062" i="23"/>
  <c r="T1062" i="23"/>
  <c r="I1059" i="23"/>
  <c r="H1059" i="23"/>
  <c r="T1058" i="23"/>
  <c r="S1058" i="23"/>
  <c r="R1058" i="23"/>
  <c r="L1058" i="23"/>
  <c r="J1058" i="23"/>
  <c r="I1058" i="23"/>
  <c r="H1058" i="23"/>
  <c r="B1059" i="23"/>
  <c r="B1060" i="23"/>
  <c r="B1061" i="23"/>
  <c r="C1059" i="23"/>
  <c r="C1060" i="23"/>
  <c r="C1061" i="23"/>
  <c r="E1059" i="23"/>
  <c r="E1060" i="23"/>
  <c r="E1061" i="23"/>
  <c r="J1059" i="23"/>
  <c r="J1060" i="23"/>
  <c r="J1061" i="23"/>
  <c r="L1059" i="23"/>
  <c r="L1060" i="23"/>
  <c r="L1061" i="23"/>
  <c r="R1059" i="23"/>
  <c r="R1060" i="23"/>
  <c r="R1061" i="23"/>
  <c r="S1059" i="23"/>
  <c r="S1060" i="23"/>
  <c r="S1061" i="23"/>
  <c r="T1059" i="23"/>
  <c r="AA1059" i="23" s="1"/>
  <c r="T1060" i="23"/>
  <c r="T1061" i="23"/>
  <c r="W1059" i="23"/>
  <c r="B1058" i="23"/>
  <c r="C1058" i="23"/>
  <c r="E1058" i="23"/>
  <c r="L1057" i="23"/>
  <c r="L1056" i="23"/>
  <c r="L1055" i="23"/>
  <c r="L1054" i="23"/>
  <c r="T1052" i="23"/>
  <c r="S1052" i="23"/>
  <c r="R1052" i="23"/>
  <c r="L1052" i="23"/>
  <c r="I1057" i="23"/>
  <c r="H1057" i="23"/>
  <c r="I1056" i="23"/>
  <c r="H1056" i="23"/>
  <c r="I1055" i="23"/>
  <c r="H1055" i="23"/>
  <c r="I1054" i="23"/>
  <c r="H1054" i="23"/>
  <c r="I1053" i="23"/>
  <c r="H1053" i="23"/>
  <c r="I1052" i="23"/>
  <c r="H1052" i="23"/>
  <c r="B1057" i="23"/>
  <c r="C1057" i="23"/>
  <c r="E1057" i="23"/>
  <c r="J1057" i="23"/>
  <c r="R1057" i="23"/>
  <c r="S1057" i="23"/>
  <c r="T1057" i="23"/>
  <c r="B1053" i="23"/>
  <c r="B1054" i="23"/>
  <c r="B1055" i="23"/>
  <c r="B1056" i="23"/>
  <c r="C1053" i="23"/>
  <c r="C1054" i="23"/>
  <c r="C1055" i="23"/>
  <c r="C1056" i="23"/>
  <c r="E1053" i="23"/>
  <c r="E1054" i="23"/>
  <c r="E1055" i="23"/>
  <c r="E1056" i="23"/>
  <c r="J1053" i="23"/>
  <c r="J1054" i="23"/>
  <c r="J1055" i="23"/>
  <c r="J1056" i="23"/>
  <c r="L1053" i="23"/>
  <c r="R1053" i="23"/>
  <c r="R1054" i="23"/>
  <c r="R1055" i="23"/>
  <c r="R1056" i="23"/>
  <c r="S1053" i="23"/>
  <c r="S1054" i="23"/>
  <c r="S1055" i="23"/>
  <c r="S1056" i="23"/>
  <c r="T1053" i="23"/>
  <c r="AA1053" i="23" s="1"/>
  <c r="T1054" i="23"/>
  <c r="AA1054" i="23" s="1"/>
  <c r="T1055" i="23"/>
  <c r="AA1055" i="23" s="1"/>
  <c r="T1056" i="23"/>
  <c r="AA1056" i="23" s="1"/>
  <c r="W1053" i="23"/>
  <c r="W1054" i="23"/>
  <c r="W1055" i="23"/>
  <c r="W1056" i="23"/>
  <c r="B1052" i="23"/>
  <c r="C1052" i="23"/>
  <c r="E1052" i="23"/>
  <c r="J1052" i="23"/>
  <c r="A63" i="24"/>
  <c r="B63" i="24"/>
  <c r="C63" i="24"/>
  <c r="E63" i="24"/>
  <c r="J63" i="24"/>
  <c r="O63" i="24"/>
  <c r="P63" i="24"/>
  <c r="Q63" i="24"/>
  <c r="A62" i="24"/>
  <c r="A60" i="24"/>
  <c r="A61" i="24" s="1"/>
  <c r="B62" i="24"/>
  <c r="C62" i="24"/>
  <c r="E62" i="24"/>
  <c r="J62" i="24"/>
  <c r="O62" i="24"/>
  <c r="P62" i="24"/>
  <c r="Q62" i="24"/>
  <c r="L1051" i="23"/>
  <c r="L1050" i="23"/>
  <c r="L1049" i="23"/>
  <c r="I1051" i="23"/>
  <c r="H1051" i="23"/>
  <c r="I1050" i="23"/>
  <c r="H1050" i="23"/>
  <c r="I1049" i="23"/>
  <c r="H1049" i="23"/>
  <c r="T1048" i="23"/>
  <c r="S1048" i="23"/>
  <c r="R1048" i="23"/>
  <c r="L1048" i="23"/>
  <c r="J1048" i="23"/>
  <c r="I1048" i="23"/>
  <c r="H1048" i="23"/>
  <c r="B1049" i="23"/>
  <c r="B1050" i="23"/>
  <c r="B1051" i="23"/>
  <c r="C1049" i="23"/>
  <c r="C1050" i="23"/>
  <c r="C1051" i="23"/>
  <c r="E1049" i="23"/>
  <c r="E1050" i="23"/>
  <c r="E1051" i="23"/>
  <c r="J1049" i="23"/>
  <c r="J1050" i="23"/>
  <c r="J1051" i="23"/>
  <c r="R1049" i="23"/>
  <c r="R1050" i="23"/>
  <c r="R1051" i="23"/>
  <c r="S1049" i="23"/>
  <c r="S1050" i="23"/>
  <c r="S1051" i="23"/>
  <c r="T1049" i="23"/>
  <c r="T1050" i="23"/>
  <c r="T1051" i="23"/>
  <c r="B1048" i="23"/>
  <c r="C1048" i="23"/>
  <c r="E1048" i="23"/>
  <c r="B61" i="24"/>
  <c r="C61" i="24"/>
  <c r="E61" i="24"/>
  <c r="J61" i="24"/>
  <c r="O61" i="24"/>
  <c r="P61" i="24"/>
  <c r="Q61" i="24"/>
  <c r="L1047" i="23"/>
  <c r="L1046" i="23"/>
  <c r="L1045" i="23"/>
  <c r="L1044" i="23"/>
  <c r="I1047" i="23"/>
  <c r="H1047" i="23"/>
  <c r="I1046" i="23"/>
  <c r="H1046" i="23"/>
  <c r="I1045" i="23"/>
  <c r="H1045" i="23"/>
  <c r="I1044" i="23"/>
  <c r="H1044" i="23"/>
  <c r="B1044" i="23"/>
  <c r="B1045" i="23"/>
  <c r="B1046" i="23"/>
  <c r="B1047" i="23"/>
  <c r="C1044" i="23"/>
  <c r="C1045" i="23"/>
  <c r="C1046" i="23"/>
  <c r="C1047" i="23"/>
  <c r="E1044" i="23"/>
  <c r="E1045" i="23"/>
  <c r="E1046" i="23"/>
  <c r="E1047" i="23"/>
  <c r="J1044" i="23"/>
  <c r="J1045" i="23"/>
  <c r="J1046" i="23"/>
  <c r="J1047" i="23"/>
  <c r="R1044" i="23"/>
  <c r="R1045" i="23"/>
  <c r="R1046" i="23"/>
  <c r="R1047" i="23"/>
  <c r="S1044" i="23"/>
  <c r="S1045" i="23"/>
  <c r="S1046" i="23"/>
  <c r="S1047" i="23"/>
  <c r="T1044" i="23"/>
  <c r="AA1044" i="23" s="1"/>
  <c r="T1045" i="23"/>
  <c r="AA1045" i="23" s="1"/>
  <c r="T1046" i="23"/>
  <c r="AA1046" i="23" s="1"/>
  <c r="T1047" i="23"/>
  <c r="W1044" i="23"/>
  <c r="W1045" i="23"/>
  <c r="W1046" i="23"/>
  <c r="T1043" i="23"/>
  <c r="S1043" i="23"/>
  <c r="R1043" i="23"/>
  <c r="L1043" i="23"/>
  <c r="J1043" i="23"/>
  <c r="I1043" i="23"/>
  <c r="H1043" i="23"/>
  <c r="R1041" i="23"/>
  <c r="S1041" i="23"/>
  <c r="T1041" i="23"/>
  <c r="R1042" i="23"/>
  <c r="S1042" i="23"/>
  <c r="T1042" i="23"/>
  <c r="L1039" i="23"/>
  <c r="I1039" i="23"/>
  <c r="H1039" i="23"/>
  <c r="B1039" i="23"/>
  <c r="C1039" i="23"/>
  <c r="E1039" i="23"/>
  <c r="J1039" i="23"/>
  <c r="R1039" i="23"/>
  <c r="S1039" i="23"/>
  <c r="T1039" i="23"/>
  <c r="B1043" i="23"/>
  <c r="C1043" i="23"/>
  <c r="E1043" i="23"/>
  <c r="B60" i="24"/>
  <c r="C60" i="24"/>
  <c r="E60" i="24"/>
  <c r="J60" i="24"/>
  <c r="O60" i="24"/>
  <c r="P60" i="24"/>
  <c r="Q60" i="24"/>
  <c r="L1042" i="23"/>
  <c r="L1041" i="23"/>
  <c r="L1040" i="23"/>
  <c r="I1042" i="23"/>
  <c r="H1042" i="23"/>
  <c r="I1041" i="23"/>
  <c r="H1041" i="23"/>
  <c r="I1040" i="23"/>
  <c r="H1040" i="23"/>
  <c r="T1038" i="23"/>
  <c r="S1038" i="23"/>
  <c r="R1038" i="23"/>
  <c r="L1038" i="23"/>
  <c r="J1038" i="23"/>
  <c r="I1038" i="23"/>
  <c r="H1038" i="23"/>
  <c r="B1040" i="23"/>
  <c r="B1041" i="23"/>
  <c r="B1042" i="23"/>
  <c r="C1040" i="23"/>
  <c r="C1041" i="23"/>
  <c r="C1042" i="23"/>
  <c r="E1040" i="23"/>
  <c r="E1041" i="23"/>
  <c r="E1042" i="23"/>
  <c r="J1040" i="23"/>
  <c r="J1041" i="23"/>
  <c r="J1042" i="23"/>
  <c r="R1040" i="23"/>
  <c r="S1040" i="23"/>
  <c r="T1040" i="23"/>
  <c r="AA1042" i="23"/>
  <c r="W1042" i="23"/>
  <c r="B1038" i="23"/>
  <c r="C1038" i="23"/>
  <c r="E1038" i="23"/>
  <c r="L1037" i="23"/>
  <c r="L1036" i="23"/>
  <c r="L1035" i="23"/>
  <c r="I1037" i="23"/>
  <c r="H1037" i="23"/>
  <c r="I1036" i="23"/>
  <c r="H1036" i="23"/>
  <c r="I1035" i="23"/>
  <c r="H1035" i="23"/>
  <c r="T1034" i="23"/>
  <c r="S1034" i="23"/>
  <c r="R1034" i="23"/>
  <c r="L1034" i="23"/>
  <c r="J1034" i="23"/>
  <c r="I1034" i="23"/>
  <c r="H1034" i="23"/>
  <c r="B1035" i="23"/>
  <c r="B1036" i="23"/>
  <c r="B1037" i="23"/>
  <c r="C1035" i="23"/>
  <c r="C1036" i="23"/>
  <c r="C1037" i="23"/>
  <c r="E1035" i="23"/>
  <c r="E1036" i="23"/>
  <c r="E1037" i="23"/>
  <c r="J1035" i="23"/>
  <c r="J1036" i="23"/>
  <c r="J1037" i="23"/>
  <c r="R1035" i="23"/>
  <c r="R1036" i="23"/>
  <c r="R1037" i="23"/>
  <c r="S1035" i="23"/>
  <c r="S1036" i="23"/>
  <c r="S1037" i="23"/>
  <c r="T1035" i="23"/>
  <c r="AA1035" i="23" s="1"/>
  <c r="T1036" i="23"/>
  <c r="AA1036" i="23" s="1"/>
  <c r="T1037" i="23"/>
  <c r="W1035" i="23"/>
  <c r="W1036" i="23"/>
  <c r="B1034" i="23"/>
  <c r="C1034" i="23"/>
  <c r="E1034" i="23"/>
  <c r="I1033" i="23"/>
  <c r="H1033" i="23"/>
  <c r="B1033" i="23"/>
  <c r="C1033" i="23"/>
  <c r="E1033" i="23"/>
  <c r="J1033" i="23"/>
  <c r="L1033" i="23"/>
  <c r="R1033" i="23"/>
  <c r="S1033" i="23"/>
  <c r="T1033" i="23"/>
  <c r="L1032" i="23"/>
  <c r="L1031" i="23"/>
  <c r="L1030" i="23"/>
  <c r="L1029" i="23"/>
  <c r="I1032" i="23"/>
  <c r="H1032" i="23"/>
  <c r="I1031" i="23"/>
  <c r="H1031" i="23"/>
  <c r="I1030" i="23"/>
  <c r="H1030" i="23"/>
  <c r="I1029" i="23"/>
  <c r="H1029" i="23"/>
  <c r="B1032" i="23"/>
  <c r="C1032" i="23"/>
  <c r="E1032" i="23"/>
  <c r="J1032" i="23"/>
  <c r="R1032" i="23"/>
  <c r="S1032" i="23"/>
  <c r="T1032" i="23"/>
  <c r="T1028" i="23"/>
  <c r="S1028" i="23"/>
  <c r="R1028" i="23"/>
  <c r="L1028" i="23"/>
  <c r="J1028" i="23"/>
  <c r="I1028" i="23"/>
  <c r="H1028" i="23"/>
  <c r="B1029" i="23"/>
  <c r="B1030" i="23"/>
  <c r="B1031" i="23"/>
  <c r="C1029" i="23"/>
  <c r="C1030" i="23"/>
  <c r="C1031" i="23"/>
  <c r="E1029" i="23"/>
  <c r="E1030" i="23"/>
  <c r="E1031" i="23"/>
  <c r="J1029" i="23"/>
  <c r="J1030" i="23"/>
  <c r="J1031" i="23"/>
  <c r="R1029" i="23"/>
  <c r="R1030" i="23"/>
  <c r="R1031" i="23"/>
  <c r="S1029" i="23"/>
  <c r="S1030" i="23"/>
  <c r="S1031" i="23"/>
  <c r="T1029" i="23"/>
  <c r="T1030" i="23"/>
  <c r="T1031" i="23"/>
  <c r="B1028" i="23"/>
  <c r="C1028" i="23"/>
  <c r="E1028" i="23"/>
  <c r="L1027" i="23"/>
  <c r="L1026" i="23"/>
  <c r="L1025" i="23"/>
  <c r="L1024" i="23"/>
  <c r="I1027" i="23"/>
  <c r="H1027" i="23"/>
  <c r="I1026" i="23"/>
  <c r="H1026" i="23"/>
  <c r="I1025" i="23"/>
  <c r="H1025" i="23"/>
  <c r="I1024" i="23"/>
  <c r="H1024" i="23"/>
  <c r="T1023" i="23"/>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T1025" i="23"/>
  <c r="T1026" i="23"/>
  <c r="T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S994" i="23"/>
  <c r="R994" i="23"/>
  <c r="T993" i="23"/>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AA1040" i="23" l="1"/>
  <c r="W1040" i="23"/>
  <c r="AA1064" i="23"/>
  <c r="W1064" i="23"/>
  <c r="W1062" i="23"/>
  <c r="AA1062" i="23"/>
  <c r="W1058" i="23"/>
  <c r="AA1058" i="23"/>
  <c r="W1060" i="23"/>
  <c r="AA1060" i="23"/>
  <c r="W1061" i="23"/>
  <c r="AA1061" i="23"/>
  <c r="AA1027" i="23"/>
  <c r="W1027" i="23"/>
  <c r="W1052" i="23"/>
  <c r="AA1052" i="23"/>
  <c r="W1057" i="23"/>
  <c r="AA1057" i="23"/>
  <c r="AA1026" i="23"/>
  <c r="W1026" i="23"/>
  <c r="AA1047" i="23"/>
  <c r="W1047" i="23"/>
  <c r="W1048" i="23"/>
  <c r="AA1048" i="23"/>
  <c r="W1049" i="23"/>
  <c r="AA1049" i="23"/>
  <c r="W1050" i="23"/>
  <c r="AA1050" i="23"/>
  <c r="W1051" i="23"/>
  <c r="AA1051" i="23"/>
  <c r="T63" i="24"/>
  <c r="T62" i="24"/>
  <c r="W1043" i="23"/>
  <c r="AA1043" i="23"/>
  <c r="W1039" i="23"/>
  <c r="AA1039" i="23"/>
  <c r="AA994" i="23"/>
  <c r="W994" i="23"/>
  <c r="AA993" i="23"/>
  <c r="W993" i="23"/>
  <c r="T61" i="24"/>
  <c r="W1038" i="23"/>
  <c r="AA1038" i="23"/>
  <c r="W1041" i="23"/>
  <c r="AA1041" i="23"/>
  <c r="T60" i="24"/>
  <c r="AA1031" i="23"/>
  <c r="W1031" i="23"/>
  <c r="W1034" i="23"/>
  <c r="AA1034" i="23"/>
  <c r="W1037" i="23"/>
  <c r="AA1037" i="23"/>
  <c r="W1033" i="23"/>
  <c r="AA1033" i="23"/>
  <c r="W1032" i="23"/>
  <c r="AA1032" i="23"/>
  <c r="W1028" i="23"/>
  <c r="AA1028" i="23"/>
  <c r="W1029" i="23"/>
  <c r="AA1029" i="23"/>
  <c r="W1030" i="23"/>
  <c r="AA1030" i="23"/>
  <c r="W1023" i="23"/>
  <c r="AA1023" i="23"/>
  <c r="W1024" i="23"/>
  <c r="AA1024" i="23"/>
  <c r="W1025" i="23"/>
  <c r="AA1025" i="23"/>
  <c r="W1018" i="23"/>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<sst xmlns="http://schemas.openxmlformats.org/spreadsheetml/2006/main" count="13052" uniqueCount="1413">
  <si>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</si>
  <si>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</si>
  <si>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</si>
  <si>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</si>
  <si>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</si>
  <si>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</si>
  <si>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</si>
  <si>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</si>
  <si>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</si>
  <si>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</si>
  <si>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</si>
  <si>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</si>
  <si>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</si>
  <si>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</si>
  <si>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</si>
  <si>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</si>
  <si>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</si>
  <si>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</si>
  <si>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</si>
  <si>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</si>
  <si>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</si>
  <si>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</si>
  <si>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</si>
  <si>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</si>
  <si>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</si>
  <si>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</si>
  <si>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</si>
  <si>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</si>
  <si>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</si>
  <si>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</si>
  <si>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</si>
  <si>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</si>
  <si>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</si>
  <si>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</si>
  <si>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</si>
  <si>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</si>
  <si>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</si>
  <si>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</si>
  <si>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</si>
  <si>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</si>
  <si>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</si>
  <si>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</si>
  <si>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</si>
  <si>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</si>
  <si>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</si>
  <si>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</si>
  <si>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</si>
  <si>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</si>
  <si>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</si>
  <si>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</si>
  <si>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</si>
  <si>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</si>
  <si>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</si>
  <si>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</si>
  <si>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</si>
  <si>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</si>
  <si>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</si>
  <si>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</si>
  <si>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</si>
  <si>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</si>
  <si>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</si>
  <si>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</si>
  <si>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</si>
  <si>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</si>
  <si>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</si>
  <si>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</si>
  <si>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</si>
  <si>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</si>
  <si>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</si>
  <si>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</si>
  <si>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</si>
  <si>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</si>
  <si>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</si>
  <si>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</si>
  <si>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</si>
  <si>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</si>
  <si>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</si>
  <si>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</si>
  <si>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</si>
  <si>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</si>
  <si>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</si>
  <si>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</si>
  <si>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</si>
  <si>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</si>
  <si>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</si>
  <si>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</si>
  <si>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</si>
  <si>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</si>
  <si>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</si>
  <si>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</si>
  <si>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</si>
  <si>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</si>
  <si>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</si>
  <si>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</si>
  <si>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</si>
  <si>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</si>
  <si>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</si>
  <si>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</si>
  <si>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</si>
  <si>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</si>
  <si>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</si>
  <si>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</si>
  <si>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</si>
  <si>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</si>
  <si>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</si>
  <si>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</si>
  <si>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</si>
  <si>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</si>
  <si>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</si>
  <si>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</si>
  <si>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</si>
  <si>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</si>
  <si>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</si>
  <si>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</si>
  <si>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</si>
  <si>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</si>
  <si>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</si>
  <si>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</si>
  <si>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</si>
  <si>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</si>
  <si>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</si>
  <si>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</si>
  <si>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</si>
  <si>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</si>
  <si>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</si>
  <si>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</si>
  <si>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</si>
  <si>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</si>
  <si>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</si>
  <si>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</si>
  <si>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</si>
  <si>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</si>
  <si>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</si>
  <si>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</si>
  <si>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</si>
  <si>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</si>
  <si>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</si>
  <si>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</si>
  <si>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</si>
  <si>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</si>
  <si>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</si>
  <si>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</si>
  <si>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</si>
  <si>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</si>
  <si>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</si>
  <si>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</si>
  <si>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</si>
  <si>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</si>
  <si>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</si>
  <si>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</si>
  <si>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</si>
  <si>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</si>
  <si>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</si>
  <si>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</si>
  <si>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</si>
  <si>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</si>
  <si>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</si>
  <si>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</si>
  <si>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</si>
  <si>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</si>
  <si>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</si>
  <si>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</si>
  <si>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</si>
  <si>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</si>
  <si>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</si>
  <si>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</si>
  <si>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</si>
  <si>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</si>
  <si>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</si>
  <si>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</si>
  <si>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</si>
  <si>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</si>
  <si>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</si>
  <si>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</si>
  <si>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</si>
  <si>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</si>
  <si>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</si>
  <si>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</si>
  <si>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</si>
  <si>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</si>
  <si>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</si>
  <si>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</si>
  <si>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</si>
  <si>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</si>
  <si>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</si>
  <si>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</si>
  <si>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</si>
  <si>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</si>
  <si>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</si>
  <si>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</si>
  <si>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</si>
  <si>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</si>
  <si>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</si>
  <si>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</si>
  <si>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</si>
  <si>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</si>
  <si>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</si>
  <si>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</si>
  <si>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</si>
  <si>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</si>
  <si>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</si>
  <si>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</si>
  <si>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</si>
  <si>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</si>
  <si>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</si>
  <si>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</si>
  <si>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</si>
  <si>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</si>
  <si>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</si>
  <si>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</si>
  <si>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</si>
  <si>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</si>
  <si>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</si>
  <si>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</si>
  <si>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</si>
  <si>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</si>
  <si>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</si>
  <si>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</si>
  <si>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</si>
  <si>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</si>
  <si>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</si>
  <si>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</si>
  <si>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</si>
  <si>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</si>
  <si>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</si>
  <si>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</si>
  <si>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</si>
  <si>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</si>
  <si>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</si>
  <si>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</si>
  <si>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</si>
  <si>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</si>
  <si>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</si>
  <si>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</si>
  <si>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</si>
  <si>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</si>
  <si>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</si>
  <si>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</si>
  <si>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</si>
  <si>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</si>
  <si>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</si>
  <si>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</si>
  <si>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</si>
  <si>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</si>
  <si>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</si>
  <si>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</si>
  <si>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</si>
  <si>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</si>
  <si>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</si>
  <si>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</si>
  <si>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</si>
  <si>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</si>
  <si>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</si>
  <si>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</si>
  <si>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</si>
  <si>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</si>
  <si>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</si>
  <si>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</si>
  <si>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</si>
  <si>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</si>
  <si>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</si>
  <si>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</si>
  <si>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</si>
  <si>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</si>
  <si>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</si>
  <si>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</si>
  <si>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</si>
  <si>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</si>
  <si>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</si>
  <si>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</si>
  <si>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</si>
  <si>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</si>
  <si>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</si>
  <si>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</si>
  <si>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</si>
  <si>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</si>
  <si>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</si>
  <si>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</si>
  <si>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</si>
  <si>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</si>
  <si>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</si>
  <si>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</si>
  <si>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</si>
  <si>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</si>
  <si>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</si>
  <si>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</si>
  <si>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</si>
  <si>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</si>
  <si>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</si>
  <si>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</si>
  <si>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</si>
  <si>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</si>
  <si>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</si>
  <si>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</si>
  <si>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</si>
  <si>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</si>
  <si>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</si>
  <si>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</si>
  <si>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</si>
  <si>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</si>
  <si>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</si>
  <si>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</si>
  <si>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</si>
  <si>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</si>
  <si>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</si>
  <si>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</si>
  <si>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</si>
  <si>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</si>
  <si>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</si>
  <si>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</si>
  <si>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</si>
  <si>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</si>
  <si>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</si>
  <si>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</si>
  <si>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</si>
  <si>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</si>
  <si>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</si>
  <si>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</si>
  <si>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</si>
  <si>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</si>
  <si>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</si>
  <si>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</si>
  <si>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</si>
  <si>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</si>
  <si>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</si>
  <si>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</si>
  <si>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</si>
  <si>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</si>
  <si>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</si>
  <si>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</si>
  <si>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</si>
  <si>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</si>
  <si>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</si>
  <si>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</si>
  <si>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</si>
  <si>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</si>
  <si>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</si>
  <si>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</si>
  <si>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</si>
  <si>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</si>
  <si>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</si>
  <si>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</si>
  <si>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</si>
  <si>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</si>
  <si>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</si>
  <si>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</si>
  <si>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</si>
  <si>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</si>
  <si>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</si>
  <si>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</si>
  <si>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</si>
  <si>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</si>
  <si>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</si>
  <si>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</si>
  <si>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</si>
  <si>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</si>
  <si>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</si>
  <si>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</si>
  <si>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</si>
  <si>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</si>
  <si>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</si>
  <si>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</si>
  <si>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</si>
  <si>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</si>
  <si>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</si>
  <si>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</si>
  <si>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</si>
  <si>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</si>
  <si>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</si>
  <si>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</si>
  <si>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</si>
  <si>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</si>
  <si>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</si>
  <si>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</si>
  <si>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</si>
  <si>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</si>
  <si>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</si>
  <si>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</si>
  <si>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</si>
  <si>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</si>
  <si>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</si>
  <si>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</si>
  <si>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</si>
  <si>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</si>
  <si>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</si>
  <si>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</si>
  <si>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</si>
  <si>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</si>
  <si>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</si>
  <si>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</si>
  <si>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</si>
  <si>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</si>
  <si>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</si>
  <si>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</si>
  <si>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</si>
  <si>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</si>
  <si>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</si>
  <si>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</si>
  <si>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</si>
  <si>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</si>
  <si>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</si>
  <si>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</si>
  <si>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</si>
  <si>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</si>
  <si>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</si>
  <si>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</si>
  <si>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</si>
  <si>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</si>
  <si>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</si>
  <si>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</si>
  <si>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</si>
  <si>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</si>
  <si>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</si>
  <si>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</si>
  <si>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</si>
  <si>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</si>
  <si>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</si>
  <si>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</si>
  <si>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</si>
  <si>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</si>
  <si>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</si>
  <si>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</si>
  <si>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</si>
  <si>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</si>
  <si>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</si>
  <si>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</si>
  <si>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</si>
  <si>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</si>
  <si>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</si>
  <si>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</si>
  <si>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</si>
  <si>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</si>
  <si>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</si>
  <si>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</si>
  <si>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</si>
  <si>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</si>
  <si>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</si>
  <si>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</si>
  <si>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</si>
  <si>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</si>
  <si>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</si>
  <si>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</si>
  <si>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</si>
  <si>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</si>
  <si>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</si>
  <si>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</si>
  <si>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</si>
  <si>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</si>
  <si>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</si>
  <si>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</si>
  <si>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</si>
  <si>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</si>
  <si>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</si>
  <si>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</si>
  <si>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</si>
  <si>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</si>
  <si>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</si>
  <si>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</si>
  <si>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</si>
  <si>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</si>
  <si>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</si>
  <si>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</si>
  <si>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</si>
  <si>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</si>
  <si>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</si>
  <si>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</si>
  <si>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</si>
  <si>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</si>
  <si>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</si>
  <si>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</si>
  <si>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</si>
  <si>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</si>
  <si>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</si>
  <si>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</si>
  <si>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</si>
  <si>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</si>
  <si>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</si>
  <si>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</si>
  <si>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</si>
  <si>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</si>
  <si>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</si>
  <si>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</si>
  <si>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</si>
  <si>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</si>
  <si>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</si>
  <si>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</si>
  <si>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</si>
  <si>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</si>
  <si>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</si>
  <si>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</si>
  <si>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</si>
  <si>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</si>
  <si>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</si>
  <si>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</si>
  <si>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</si>
  <si>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</si>
  <si>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</si>
  <si>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</si>
  <si>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</si>
  <si>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</si>
  <si>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</si>
  <si>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</si>
  <si>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</si>
  <si>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</si>
  <si>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</si>
  <si>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</si>
  <si>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</si>
  <si>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</si>
  <si>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</si>
  <si>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</si>
  <si>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</si>
  <si>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</si>
  <si>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</si>
  <si>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</si>
  <si>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</si>
  <si>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</si>
  <si>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</si>
  <si>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</si>
  <si>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</si>
  <si>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</si>
  <si>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</si>
  <si>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</si>
  <si>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</si>
  <si>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</si>
  <si>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</si>
  <si>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</si>
  <si>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</si>
  <si>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</si>
  <si>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</si>
  <si>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</si>
  <si>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</si>
  <si>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</si>
  <si>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</si>
  <si>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</si>
  <si>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</si>
  <si>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</si>
  <si>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</si>
  <si>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</si>
  <si>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</si>
  <si>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</si>
  <si>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</si>
  <si>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</si>
  <si>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</si>
  <si>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</si>
  <si>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</si>
  <si>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</si>
  <si>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</si>
  <si>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</si>
  <si>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</si>
  <si>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</si>
  <si>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</si>
  <si>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</si>
  <si>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</si>
  <si>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</si>
  <si>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</si>
  <si>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</si>
  <si>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</si>
  <si>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</si>
  <si>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</si>
  <si>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</si>
  <si>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</si>
  <si>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</si>
  <si>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</si>
  <si>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</si>
  <si>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</si>
  <si>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</si>
  <si>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</si>
  <si>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</si>
  <si>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</si>
  <si>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</si>
  <si>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</si>
  <si>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</si>
  <si>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</si>
  <si>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</si>
  <si>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</si>
  <si>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</si>
  <si>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</si>
  <si>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</si>
  <si>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</si>
  <si>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</si>
  <si>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</si>
  <si>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</si>
  <si>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</si>
  <si>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</si>
  <si>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</si>
  <si>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</si>
  <si>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</si>
  <si>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</si>
  <si>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</si>
  <si>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</si>
  <si>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</si>
  <si>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</si>
  <si>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</si>
  <si>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</si>
  <si>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</si>
  <si>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</si>
  <si>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</si>
  <si>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</si>
  <si>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</si>
  <si>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</si>
  <si>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</si>
  <si>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</si>
  <si>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</si>
  <si>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</si>
  <si>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</si>
  <si>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</si>
  <si>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</si>
  <si>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</si>
  <si>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</si>
  <si>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</si>
  <si>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</si>
  <si>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</si>
  <si>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</si>
  <si>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</si>
  <si>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</si>
  <si>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</si>
  <si>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</si>
  <si>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</si>
  <si>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</si>
  <si>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</si>
  <si>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</si>
  <si>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</si>
  <si>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</si>
  <si>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</si>
  <si>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</si>
  <si>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</si>
  <si>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</si>
  <si>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</si>
  <si>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</si>
  <si>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</si>
  <si>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</si>
  <si>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</si>
  <si>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</si>
  <si>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</si>
  <si>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</si>
  <si>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</si>
  <si>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</si>
  <si>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</si>
  <si>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</si>
  <si>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</si>
  <si>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</si>
  <si>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</si>
  <si>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</si>
  <si>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</si>
  <si>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</si>
  <si>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</si>
  <si>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</si>
  <si>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</si>
  <si>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</si>
  <si>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</si>
  <si>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</si>
  <si>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</si>
  <si>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</si>
  <si>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</si>
  <si>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</si>
  <si>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</si>
  <si>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</si>
  <si>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</si>
  <si>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</si>
  <si>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</si>
  <si>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</si>
  <si>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</si>
  <si>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</si>
  <si>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</si>
  <si>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</si>
  <si>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</si>
  <si>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</si>
  <si>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</si>
  <si>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</si>
  <si>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</si>
  <si>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</si>
  <si>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</si>
  <si>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</si>
  <si>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</si>
  <si>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</si>
  <si>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</si>
  <si>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</si>
  <si>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</si>
  <si>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</si>
  <si>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</si>
  <si>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</si>
  <si>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</si>
  <si>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</si>
  <si>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</si>
  <si>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</si>
  <si>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</si>
  <si>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</si>
  <si>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</si>
  <si>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</si>
  <si>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</si>
  <si>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</si>
  <si>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</si>
  <si>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</si>
  <si>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</si>
  <si>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</si>
  <si>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</si>
  <si>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</si>
  <si>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</si>
  <si>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</si>
  <si>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</si>
  <si>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</si>
  <si>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</si>
  <si>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</si>
  <si>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</si>
  <si>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</si>
  <si>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</si>
  <si>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</si>
  <si>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</si>
  <si>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</si>
  <si>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</si>
  <si>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</si>
  <si>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</si>
  <si>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</si>
  <si>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</si>
  <si>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</si>
  <si>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</si>
  <si>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</si>
  <si>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</si>
  <si>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</si>
  <si>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</si>
  <si>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</si>
  <si>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</si>
  <si>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</si>
  <si>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</si>
  <si>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</si>
  <si>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</si>
  <si>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</si>
  <si>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</si>
  <si>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</si>
  <si>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</si>
  <si>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</si>
  <si>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</si>
  <si>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</si>
  <si>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</si>
  <si>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</si>
  <si>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</si>
  <si>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</si>
  <si>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</si>
  <si>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</si>
  <si>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</si>
  <si>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</si>
  <si>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</si>
  <si>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</si>
  <si>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</si>
  <si>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</si>
  <si>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</si>
  <si>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</si>
  <si>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</si>
  <si>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</si>
  <si>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</si>
  <si>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</si>
  <si>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</si>
  <si>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</si>
  <si>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</si>
  <si>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</si>
  <si>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</si>
  <si>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</si>
  <si>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</si>
  <si>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</si>
  <si>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</si>
  <si>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</si>
  <si>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</si>
  <si>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</si>
  <si>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</si>
  <si>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</si>
  <si>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</si>
  <si>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</si>
  <si>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</si>
  <si>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</si>
  <si>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</si>
  <si>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</si>
  <si>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</si>
  <si>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</si>
  <si>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</si>
  <si>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</si>
  <si>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</si>
  <si>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</si>
  <si>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</si>
  <si>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</si>
  <si>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</si>
  <si>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</si>
  <si>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</si>
  <si>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</si>
  <si>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</si>
  <si>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</si>
  <si>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</si>
  <si>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</si>
  <si>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</si>
  <si>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</si>
  <si>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</si>
  <si>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</si>
  <si>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</si>
  <si>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</si>
  <si>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</si>
  <si>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</si>
  <si>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</si>
  <si>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</si>
  <si>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</si>
  <si>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</si>
  <si>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</si>
  <si>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</si>
  <si>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</si>
  <si>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</si>
  <si>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</si>
  <si>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</si>
  <si>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</si>
  <si>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</si>
  <si>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</si>
  <si>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</si>
  <si>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</si>
  <si>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</si>
  <si>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</si>
  <si>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</si>
  <si>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</si>
  <si>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</si>
  <si>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</si>
  <si>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</si>
  <si>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</si>
  <si>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</si>
  <si>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</si>
  <si>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</si>
  <si>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</si>
  <si>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</si>
  <si>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</si>
  <si>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</si>
  <si>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</si>
  <si>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</si>
  <si>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</si>
  <si>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</si>
  <si>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</si>
  <si>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</si>
  <si>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</si>
  <si>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</si>
  <si>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</si>
  <si>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</si>
  <si>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</si>
  <si>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</si>
  <si>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</si>
  <si>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</si>
  <si>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</si>
  <si>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</si>
  <si>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</si>
  <si>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</si>
  <si>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</si>
  <si>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</si>
  <si>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</si>
  <si>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</si>
  <si>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</si>
  <si>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</si>
  <si>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</si>
  <si>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</si>
  <si>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</si>
  <si>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</si>
  <si>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</si>
  <si>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</si>
  <si>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</si>
  <si>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</si>
  <si>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</si>
  <si>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</si>
  <si>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</si>
  <si>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</si>
  <si>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</si>
  <si>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</si>
  <si>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</si>
  <si>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</si>
  <si>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</si>
  <si>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</si>
  <si>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</si>
  <si>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</si>
  <si>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</si>
  <si>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</si>
  <si>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</si>
  <si>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</si>
  <si>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</si>
  <si>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</si>
  <si>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</si>
  <si>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</si>
  <si>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</si>
  <si>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</si>
  <si>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</si>
  <si>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</si>
  <si>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</si>
  <si>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</si>
  <si>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</si>
  <si>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</si>
  <si>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</si>
  <si>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</si>
  <si>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</si>
  <si>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</si>
  <si>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</si>
  <si>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</si>
  <si>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</si>
  <si>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</si>
  <si>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</si>
  <si>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</si>
  <si>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</si>
  <si>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</si>
  <si>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</si>
  <si>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</si>
  <si>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</si>
  <si>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</si>
  <si>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</si>
  <si>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</si>
  <si>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</si>
  <si>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</si>
  <si>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</si>
  <si>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</si>
  <si>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</si>
  <si>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</si>
  <si>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</si>
  <si>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</si>
  <si>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</si>
  <si>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</si>
  <si>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</si>
  <si>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</si>
  <si>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</si>
  <si>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</si>
  <si>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</si>
  <si>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</si>
  <si>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</si>
  <si>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</si>
  <si>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</si>
  <si>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</si>
  <si>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</si>
  <si>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</si>
  <si>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</si>
  <si>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</si>
  <si>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</si>
  <si>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</si>
  <si>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</si>
  <si>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</si>
  <si>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</si>
  <si>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</si>
  <si>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</si>
  <si>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</si>
  <si>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</si>
  <si>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</si>
  <si>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</si>
  <si>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</si>
  <si>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</si>
  <si>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</si>
  <si>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</si>
  <si>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</si>
  <si>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</si>
  <si>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</si>
  <si>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</si>
  <si>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</si>
  <si>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</si>
  <si>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</si>
  <si>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</si>
  <si>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</si>
  <si>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</si>
  <si>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</si>
  <si>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</si>
  <si>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</si>
  <si>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</si>
  <si>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</si>
  <si>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</si>
  <si>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</si>
  <si>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</si>
  <si>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</si>
  <si>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</si>
  <si>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</si>
  <si>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</si>
  <si>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</si>
  <si>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</si>
  <si>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</si>
  <si>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</si>
  <si>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</si>
  <si>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</si>
  <si>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</si>
  <si>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</si>
  <si>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</si>
  <si>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</si>
  <si>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</si>
  <si>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</si>
  <si>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</si>
  <si>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</si>
  <si>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</si>
  <si>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</si>
  <si>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</si>
  <si>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</si>
  <si>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</si>
  <si>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</si>
  <si>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</si>
  <si>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</si>
  <si>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</si>
  <si>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</si>
  <si>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</si>
  <si>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</si>
  <si>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</si>
  <si>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</si>
  <si>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</si>
  <si>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</si>
  <si>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</si>
  <si>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</si>
  <si>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</si>
  <si>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</si>
  <si>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</si>
  <si>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</si>
  <si>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</si>
  <si>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</si>
  <si>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</si>
  <si>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</si>
  <si>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</si>
  <si>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</si>
  <si>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</si>
  <si>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</si>
  <si>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</si>
  <si>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</si>
  <si>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</si>
  <si>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</si>
  <si>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</si>
  <si>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</si>
  <si>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</si>
  <si>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</si>
  <si>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</si>
  <si>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</si>
  <si>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</si>
  <si>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</si>
  <si>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</si>
  <si>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</si>
  <si>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</si>
  <si>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</si>
  <si>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</si>
  <si>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</si>
  <si>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</si>
  <si>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</si>
  <si>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</si>
  <si>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</si>
  <si>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</si>
  <si>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</si>
  <si>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</si>
  <si>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</si>
  <si>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</si>
  <si>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</si>
  <si>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</si>
  <si>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</si>
  <si>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</si>
  <si>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</si>
  <si>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</si>
  <si>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</si>
  <si>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</si>
  <si>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</si>
  <si>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</si>
  <si>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</si>
  <si>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</si>
  <si>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</si>
  <si>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</si>
  <si>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</si>
  <si>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</si>
  <si>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</si>
  <si>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</si>
  <si>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</si>
  <si>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</si>
  <si>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</si>
  <si>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</si>
  <si>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</si>
  <si>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</si>
  <si>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</si>
  <si>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</si>
  <si>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</si>
  <si>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</si>
  <si>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</si>
  <si>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</si>
  <si>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</si>
  <si>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</si>
  <si>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</si>
  <si>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</si>
  <si>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</si>
  <si>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</si>
  <si>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</si>
  <si>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</si>
  <si>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</si>
  <si>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</si>
  <si>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</si>
  <si>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</si>
  <si>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</si>
  <si>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</si>
  <si>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</si>
  <si>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</si>
  <si>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</si>
  <si>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</si>
  <si>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</si>
  <si>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</si>
  <si>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</si>
  <si>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</si>
  <si>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</si>
  <si>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</si>
  <si>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</si>
  <si>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</si>
  <si>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</si>
  <si>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</si>
  <si>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</si>
  <si>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</si>
  <si>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</si>
  <si>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</si>
  <si>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</si>
  <si>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</si>
  <si>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</si>
  <si>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</si>
  <si>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</si>
  <si>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</si>
  <si>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</si>
  <si>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</si>
  <si>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</si>
  <si>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</si>
  <si>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</si>
  <si>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</si>
  <si>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</si>
  <si>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</si>
  <si>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</si>
  <si>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</si>
  <si>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</si>
  <si>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</si>
  <si>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</si>
  <si>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</si>
  <si>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</si>
  <si>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</si>
  <si>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</si>
  <si>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</si>
  <si>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</si>
  <si>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</si>
  <si>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</si>
  <si>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</si>
  <si>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</si>
  <si>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</si>
  <si>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</si>
  <si>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</si>
  <si>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</si>
  <si>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</si>
  <si>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</si>
  <si>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</si>
  <si>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</si>
  <si>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</si>
  <si>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</si>
  <si>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</si>
  <si>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</si>
  <si>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</si>
  <si>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</si>
  <si>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</si>
  <si>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</si>
  <si>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</si>
  <si>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</si>
  <si>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</si>
  <si>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</si>
  <si>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</si>
  <si>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</si>
  <si>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</si>
  <si>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</si>
  <si>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</si>
  <si>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</si>
  <si>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</si>
  <si>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</si>
  <si>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</si>
  <si>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</si>
  <si>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</si>
  <si>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</si>
  <si>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</si>
  <si>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</si>
  <si>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</si>
  <si>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</si>
  <si>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</si>
  <si>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</si>
  <si>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</si>
  <si>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</si>
  <si>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</si>
  <si>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</si>
  <si>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</si>
  <si>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</si>
  <si>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</si>
  <si>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</si>
  <si>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</si>
  <si>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</si>
  <si>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</si>
  <si>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</si>
  <si>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</si>
  <si>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</si>
  <si>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</si>
  <si>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</si>
  <si>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</si>
  <si>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</si>
  <si>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</si>
  <si>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</si>
  <si>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</si>
  <si>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</si>
  <si>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</si>
  <si>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</si>
  <si>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</si>
  <si>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</si>
  <si>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</si>
  <si>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</si>
  <si>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</si>
  <si>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</si>
  <si>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</si>
  <si>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</si>
  <si>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</si>
  <si>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</si>
  <si>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</si>
  <si>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</si>
  <si>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</si>
  <si>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</si>
  <si>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</si>
  <si>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</si>
  <si>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</si>
  <si>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</si>
  <si>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</si>
  <si>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</si>
  <si>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</si>
  <si>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</si>
  <si>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</si>
  <si>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</si>
  <si>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</si>
  <si>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</si>
  <si>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</si>
  <si>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</si>
  <si>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</si>
  <si>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</si>
  <si>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</si>
  <si>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</si>
  <si>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</si>
  <si>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</si>
  <si>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</si>
  <si>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</si>
  <si>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</si>
  <si>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</si>
  <si>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</si>
  <si>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</si>
  <si>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</si>
  <si>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</si>
  <si>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</si>
  <si>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</si>
  <si>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</si>
  <si>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</si>
  <si>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</si>
  <si>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</si>
  <si>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</si>
  <si>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</si>
  <si>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</si>
  <si>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</si>
  <si>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</si>
  <si>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</si>
  <si>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</si>
  <si>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</si>
  <si>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</si>
  <si>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</si>
  <si>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</si>
  <si>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</si>
  <si>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</si>
  <si>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</si>
  <si>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</si>
  <si>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</si>
  <si>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</si>
  <si>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</si>
  <si>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</si>
  <si>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</si>
  <si>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</si>
  <si>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</si>
  <si>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</si>
  <si>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</si>
  <si>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</si>
  <si>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</si>
  <si>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</si>
  <si>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</si>
  <si>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</si>
  <si>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</si>
  <si>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</si>
  <si>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</si>
  <si>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</si>
  <si>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</si>
  <si>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</si>
  <si>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</si>
  <si>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</si>
  <si>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</si>
  <si>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</si>
  <si>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</si>
  <si>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</si>
  <si>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</si>
  <si>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</si>
  <si>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</si>
  <si>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</si>
  <si>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</si>
  <si>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</si>
  <si>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</si>
  <si>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</si>
  <si>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</si>
  <si>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</si>
  <si>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</si>
  <si>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</si>
  <si>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</si>
  <si>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</si>
  <si>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</si>
  <si>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</si>
  <si>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</si>
  <si>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</si>
  <si>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</si>
  <si>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</si>
  <si>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</si>
  <si>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</si>
  <si>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</si>
  <si>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</si>
  <si>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</si>
  <si>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</si>
  <si>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</si>
  <si>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</si>
  <si>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</si>
  <si>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</si>
  <si>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</si>
  <si>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</si>
  <si>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</si>
  <si>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</si>
  <si>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</si>
  <si>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</si>
  <si>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</si>
  <si>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</si>
  <si>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</si>
  <si>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</si>
  <si>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</si>
  <si>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</si>
  <si>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</si>
  <si>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</si>
  <si>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</si>
  <si>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</si>
  <si>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</si>
  <si>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</si>
  <si>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</si>
  <si>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</si>
  <si>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</si>
  <si>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</si>
  <si>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</si>
  <si>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</si>
  <si>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</si>
  <si>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</si>
  <si>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</si>
  <si>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</si>
  <si>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</si>
  <si>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</si>
  <si>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</si>
  <si>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</si>
  <si>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</si>
  <si>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</si>
  <si>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</si>
  <si>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</si>
  <si>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</si>
  <si>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</si>
  <si>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</si>
  <si>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</si>
  <si>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</si>
  <si>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</si>
  <si>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</si>
  <si>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</si>
  <si>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</si>
  <si>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</si>
  <si>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</si>
  <si>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</si>
  <si>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</si>
  <si>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</si>
  <si>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</si>
  <si>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</si>
  <si>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</si>
  <si>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</si>
  <si>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</si>
  <si>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</si>
  <si>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</si>
  <si>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</si>
  <si>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</si>
  <si>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</si>
  <si>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</si>
  <si>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</si>
  <si>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</si>
  <si>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</si>
  <si>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</si>
  <si>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</si>
  <si>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</si>
  <si>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</si>
  <si>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</si>
  <si>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</si>
  <si>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</si>
  <si>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</si>
  <si>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</si>
  <si>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</si>
  <si>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</si>
  <si>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</si>
  <si>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</si>
  <si>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</si>
  <si>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</si>
  <si>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</si>
  <si>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</si>
  <si>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</si>
  <si>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</si>
  <si>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</si>
  <si>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</si>
  <si>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</si>
  <si>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</si>
  <si>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</si>
  <si>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</si>
  <si>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</si>
  <si>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</si>
  <si>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</si>
  <si>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</si>
  <si>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</si>
  <si>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</si>
  <si>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</si>
  <si>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</si>
  <si>
    <t>Checked related circuit found Tee connector failure so replaced Tee connector with new one then checked and found in HT yard 33Kv power cable end sleeva failure. (work in progress)</t>
  </si>
  <si>
    <t>Checked related circuit found valves ok then restore wtg.</t>
  </si>
  <si>
    <t>Wating for material</t>
  </si>
  <si>
    <t>Checked related circuit found Transformer fuse failure so replaced with new one then restore wtg.</t>
  </si>
  <si>
    <t xml:space="preserve">Fuse </t>
  </si>
  <si>
    <t>Tee - Connector 35sqmm</t>
  </si>
  <si>
    <t>33kv cable end sleeva replaced then restore wtg.</t>
  </si>
  <si>
    <t>33kv outdoor termination kit</t>
  </si>
  <si>
    <t>Checked related circuit found proportional valve failure so replaced  it then restore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</si>
</sst>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8">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1" fontId="34" fillId="0" borderId="1" xfId="0" applyNumberFormat="1" applyFont="1" applyBorder="1" applyAlignment="1">
      <alignment horizont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5"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69"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69" fontId="0" fillId="0" borderId="0" xfId="2" applyNumberFormat="1" applyFont="1" applyBorder="1" applyAlignment="1">
      <alignment horizontal="center" vertical="center"/>
    </xf>
    <xf numFmtId="0" fontId="6" fillId="28" borderId="0" xfId="5" applyFill="1" applyAlignment="1">
      <alignment horizontal="left"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xf numFmtId="0" fontId="6" fillId="0" borderId="0" xfId="5" applyFill="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numFmt numFmtId="0" formatCode="General"/>
      <alignment horizontal="center" vertical="center" textRotation="0" indent="0" justifyLastLine="0" shrinkToFit="0" readingOrder="0"/>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  28 July 25.xlsx]Analytices!PivotTable3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https://o2power-my.sharepoint.com/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68" totalsRowShown="0" headerRowDxfId="126" dataDxfId="124" headerRowBorderDxfId="125" tableBorderDxfId="123" totalsRowBorderDxfId="122">
  <autoFilter ref="A1:AD1068"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3" totalsRowShown="0" headerRowDxfId="91" headerRowCellStyle="Normal 26">
  <autoFilter ref="A1:Y63"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0">
      <calculatedColumnFormula>SUM(E3:AQ3)</calculatedColumnFormula>
    </tableColumn>
    <tableColumn id="45" xr3:uid="{158C240E-B77B-4528-B67D-7DC21D730F4F}" name="Column1" dataDxfId="8"/>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95" totalsRowShown="0" headerRowDxfId="7">
  <autoFilter ref="A2:G195" xr:uid="{00000000-0009-0000-0100-000007000000}"/>
  <tableColumns count="7">
    <tableColumn id="1" xr3:uid="{00000000-0010-0000-0500-000001000000}" name="Sr. No." dataDxfId="6"/>
    <tableColumn id="2" xr3:uid="{00000000-0010-0000-0500-000002000000}" name="Date" dataDxfId="5"/>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B5" sqref="B5"/>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8" t="s">
        <v>0</v>
      </c>
      <c r="B2" s="389"/>
      <c r="C2" s="389"/>
      <c r="D2" s="389"/>
      <c r="E2" s="389"/>
      <c r="F2" s="390"/>
    </row>
    <row r="3" spans="1:18">
      <c r="A3" s="45" t="s">
        <v>1</v>
      </c>
      <c r="B3" s="162">
        <v>45839</v>
      </c>
      <c r="C3" s="47"/>
      <c r="D3" s="47"/>
      <c r="E3" s="47"/>
      <c r="F3" s="48"/>
    </row>
    <row r="4" spans="1:18">
      <c r="A4" s="45" t="s">
        <v>2</v>
      </c>
      <c r="B4" s="163">
        <v>45867</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91">
        <v>1</v>
      </c>
      <c r="B10" s="61" t="s">
        <v>13</v>
      </c>
      <c r="C10" s="62">
        <f>_xlfn.XLOOKUP($B$4,'Daily KPI'!$A:$A,'Daily KPI'!$AD:$AD)/1000</f>
        <v>585.79781940673683</v>
      </c>
      <c r="D10" s="63">
        <f>_xlfn.XLOOKUP($B$4,'Daily KPI'!$A:$A,'Daily KPI'!$AA:$AA)/1000</f>
        <v>984</v>
      </c>
      <c r="E10" s="64">
        <f>D10/C10-1</f>
        <v>0.67976043508755279</v>
      </c>
      <c r="F10" s="164"/>
    </row>
    <row r="11" spans="1:18">
      <c r="A11" s="392"/>
      <c r="B11" s="65" t="s">
        <v>14</v>
      </c>
      <c r="C11" s="66">
        <f>MonthlyKPI!E4</f>
        <v>16988.13676279537</v>
      </c>
      <c r="D11" s="67">
        <f>MonthlyKPI!F4</f>
        <v>15208.8</v>
      </c>
      <c r="E11" s="68">
        <f>D11/C11-1</f>
        <v>-0.10473995986965334</v>
      </c>
      <c r="F11" s="165"/>
    </row>
    <row r="12" spans="1:18" ht="15.75" thickBot="1">
      <c r="A12" s="393"/>
      <c r="B12" s="69" t="s">
        <v>15</v>
      </c>
      <c r="C12" s="70">
        <f>AnnualKPI!E4</f>
        <v>59563.091376742275</v>
      </c>
      <c r="D12" s="71">
        <f>AnnualKPI!F4</f>
        <v>54327.6</v>
      </c>
      <c r="E12" s="72">
        <f>D12/C12-1</f>
        <v>-8.7898247987621914E-2</v>
      </c>
      <c r="F12" s="166"/>
    </row>
    <row r="13" spans="1:18">
      <c r="A13" s="391">
        <v>2</v>
      </c>
      <c r="B13" s="61" t="s">
        <v>16</v>
      </c>
      <c r="C13" s="73">
        <f>_xlfn.XLOOKUP($B$3,'Modelling New'!$D:$D,'Modelling New'!AC:AC)</f>
        <v>7.1310648756787653</v>
      </c>
      <c r="D13" s="74">
        <f>_xlfn.XLOOKUP($B$4,'Daily KPI'!$A:$A,'Daily KPI'!M:M)</f>
        <v>7.5105128205128198</v>
      </c>
      <c r="E13" s="64">
        <f t="shared" ref="E13:E39" si="0">(D13-C13)/(C13)</f>
        <v>5.3210558513946619E-2</v>
      </c>
      <c r="F13" s="164"/>
    </row>
    <row r="14" spans="1:18">
      <c r="A14" s="392"/>
      <c r="B14" s="65" t="s">
        <v>17</v>
      </c>
      <c r="C14" s="75">
        <f>MonthlyKPI!C4</f>
        <v>7.1310648756787653</v>
      </c>
      <c r="D14" s="76">
        <f>MonthlyKPI!D4</f>
        <v>5.1871484134541124</v>
      </c>
      <c r="E14" s="68">
        <f t="shared" si="0"/>
        <v>-0.27259834205892325</v>
      </c>
      <c r="F14" s="165"/>
    </row>
    <row r="15" spans="1:18" ht="15.75" thickBot="1">
      <c r="A15" s="393"/>
      <c r="B15" s="69" t="s">
        <v>18</v>
      </c>
      <c r="C15" s="77">
        <f>AnnualKPI!C4</f>
        <v>6.2836120320091453</v>
      </c>
      <c r="D15" s="78">
        <f>AnnualKPI!D4</f>
        <v>5.1338258730482078</v>
      </c>
      <c r="E15" s="72">
        <f t="shared" si="0"/>
        <v>-0.18298172342656563</v>
      </c>
      <c r="F15" s="166"/>
    </row>
    <row r="16" spans="1:18">
      <c r="A16" s="391">
        <v>3</v>
      </c>
      <c r="B16" s="61" t="s">
        <v>19</v>
      </c>
      <c r="C16" s="79">
        <f>_xlfn.XLOOKUP($B$3,'Modelling New'!$D:$D,'Modelling New'!$AE:$AE)</f>
        <v>0.96029999999999993</v>
      </c>
      <c r="D16" s="79">
        <f>_xlfn.XLOOKUP($B$4,'Daily KPI'!$A:$A,'Daily KPI'!$O:$O)</f>
        <v>0.9589849133971331</v>
      </c>
      <c r="E16" s="64">
        <f t="shared" si="0"/>
        <v>-1.3694539236351483E-3</v>
      </c>
      <c r="F16" s="170"/>
    </row>
    <row r="17" spans="1:6">
      <c r="A17" s="392"/>
      <c r="B17" s="65" t="s">
        <v>20</v>
      </c>
      <c r="C17" s="80">
        <f>_xlfn.XLOOKUP($B$3,'Modelling New'!$D:$D,'Modelling New'!$AE:$AE)</f>
        <v>0.96029999999999993</v>
      </c>
      <c r="D17" s="80">
        <f>MonthlyKPI!$P$4</f>
        <v>0.93030148487075826</v>
      </c>
      <c r="E17" s="68">
        <f t="shared" si="0"/>
        <v>-3.1238691168636548E-2</v>
      </c>
      <c r="F17" s="170"/>
    </row>
    <row r="18" spans="1:6" ht="15.75" thickBot="1">
      <c r="A18" s="393"/>
      <c r="B18" s="69" t="s">
        <v>21</v>
      </c>
      <c r="C18" s="81">
        <f>_xlfn.XLOOKUP($B$3,'Modelling New'!$D:$D,'Modelling New'!$AE:$AE)</f>
        <v>0.96029999999999993</v>
      </c>
      <c r="D18" s="81">
        <f>AnnualKPI!$P$4</f>
        <v>0.92247842162403826</v>
      </c>
      <c r="E18" s="72">
        <f t="shared" si="0"/>
        <v>-3.9385169609457121E-2</v>
      </c>
      <c r="F18" s="170"/>
    </row>
    <row r="19" spans="1:6">
      <c r="A19" s="391">
        <v>4</v>
      </c>
      <c r="B19" s="61" t="s">
        <v>22</v>
      </c>
      <c r="C19" s="79">
        <f>_xlfn.XLOOKUP($B$3,'Modelling New'!$D:$D,'Modelling New'!$AH:$AH)</f>
        <v>0.97</v>
      </c>
      <c r="D19" s="79">
        <f>_xlfn.XLOOKUP($B$4,'Daily KPI'!$A:$A,'Daily KPI'!$P:$P)</f>
        <v>0.9589849133971331</v>
      </c>
      <c r="E19" s="64">
        <f t="shared" si="0"/>
        <v>-1.1355759384398841E-2</v>
      </c>
      <c r="F19" s="164"/>
    </row>
    <row r="20" spans="1:6">
      <c r="A20" s="392"/>
      <c r="B20" s="65" t="s">
        <v>23</v>
      </c>
      <c r="C20" s="80">
        <f>_xlfn.XLOOKUP($B$3,'Modelling New'!$D:$D,'Modelling New'!$AH:$AH)</f>
        <v>0.97</v>
      </c>
      <c r="D20" s="80">
        <f>MonthlyKPI!L4</f>
        <v>0.93379391437338299</v>
      </c>
      <c r="E20" s="68">
        <f t="shared" si="0"/>
        <v>-3.7325861470739158E-2</v>
      </c>
      <c r="F20" s="165"/>
    </row>
    <row r="21" spans="1:6" ht="15.75" thickBot="1">
      <c r="A21" s="393"/>
      <c r="B21" s="69" t="s">
        <v>24</v>
      </c>
      <c r="C21" s="81">
        <f>_xlfn.XLOOKUP($B$3,'Modelling New'!$D:$D,'Modelling New'!$AH:$AH)</f>
        <v>0.97</v>
      </c>
      <c r="D21" s="81">
        <f>AnnualKPI!L4</f>
        <v>0.9278520722653989</v>
      </c>
      <c r="E21" s="72">
        <f t="shared" si="0"/>
        <v>-4.3451471891341319E-2</v>
      </c>
      <c r="F21" s="166"/>
    </row>
    <row r="22" spans="1:6">
      <c r="A22" s="391">
        <v>5</v>
      </c>
      <c r="B22" s="61" t="s">
        <v>25</v>
      </c>
      <c r="C22" s="79">
        <f>_xlfn.XLOOKUP($B$3,'Modelling New'!$D:$D,'Modelling New'!$AF:$AF)</f>
        <v>0.995</v>
      </c>
      <c r="D22" s="79">
        <f>_xlfn.XLOOKUP($B$4,'Daily KPI'!$A:$A,'Daily KPI'!$R:$R)</f>
        <v>1</v>
      </c>
      <c r="E22" s="64">
        <f t="shared" si="0"/>
        <v>5.0251256281407079E-3</v>
      </c>
      <c r="F22" s="164"/>
    </row>
    <row r="23" spans="1:6">
      <c r="A23" s="392"/>
      <c r="B23" s="65" t="s">
        <v>26</v>
      </c>
      <c r="C23" s="80">
        <f>_xlfn.XLOOKUP($B$3,'Modelling New'!$D:$D,'Modelling New'!$AF:$AF)</f>
        <v>0.995</v>
      </c>
      <c r="D23" s="80">
        <f>MonthlyKPI!J4</f>
        <v>1</v>
      </c>
      <c r="E23" s="68">
        <f t="shared" si="0"/>
        <v>5.0251256281407079E-3</v>
      </c>
      <c r="F23" s="165"/>
    </row>
    <row r="24" spans="1:6" ht="15.75" thickBot="1">
      <c r="A24" s="393"/>
      <c r="B24" s="69" t="s">
        <v>27</v>
      </c>
      <c r="C24" s="81">
        <f>_xlfn.XLOOKUP($B$3,'Modelling New'!$D:$D,'Modelling New'!$AF:$AF)</f>
        <v>0.995</v>
      </c>
      <c r="D24" s="81">
        <f>AnnualKPI!J4</f>
        <v>1</v>
      </c>
      <c r="E24" s="72">
        <f t="shared" si="0"/>
        <v>5.0251256281407079E-3</v>
      </c>
      <c r="F24" s="166"/>
    </row>
    <row r="25" spans="1:6">
      <c r="A25" s="391">
        <v>6</v>
      </c>
      <c r="B25" s="61" t="s">
        <v>28</v>
      </c>
      <c r="C25" s="79">
        <f>_xlfn.XLOOKUP($B$3,'Modelling New'!$D:$D,'Modelling New'!$AI:$AI)</f>
        <v>0.99</v>
      </c>
      <c r="D25" s="79">
        <f>_xlfn.XLOOKUP($B$4,'Daily KPI'!$A:$A,'Daily KPI'!$Q:$Q)</f>
        <v>1</v>
      </c>
      <c r="E25" s="64">
        <f t="shared" si="0"/>
        <v>1.0101010101010111E-2</v>
      </c>
      <c r="F25" s="164"/>
    </row>
    <row r="26" spans="1:6">
      <c r="A26" s="392"/>
      <c r="B26" s="65" t="s">
        <v>29</v>
      </c>
      <c r="C26" s="80">
        <f>_xlfn.XLOOKUP($B$3,'Modelling New'!$D:$D,'Modelling New'!$AI:$AI)</f>
        <v>0.99</v>
      </c>
      <c r="D26" s="80">
        <f>MonthlyKPI!N4</f>
        <v>0.99625995688249014</v>
      </c>
      <c r="E26" s="68">
        <f t="shared" si="0"/>
        <v>6.3231887701920685E-3</v>
      </c>
      <c r="F26" s="165"/>
    </row>
    <row r="27" spans="1:6" ht="15.75" thickBot="1">
      <c r="A27" s="393"/>
      <c r="B27" s="69" t="s">
        <v>30</v>
      </c>
      <c r="C27" s="81">
        <f>_xlfn.XLOOKUP($B$3,'Modelling New'!$D:$D,'Modelling New'!$AI:$AI)</f>
        <v>0.99</v>
      </c>
      <c r="D27" s="81">
        <f>AnnualKPI!N4</f>
        <v>0.99420850499558555</v>
      </c>
      <c r="E27" s="72">
        <f t="shared" si="0"/>
        <v>4.2510151470561211E-3</v>
      </c>
      <c r="F27" s="166"/>
    </row>
    <row r="28" spans="1:6">
      <c r="A28" s="391">
        <v>7</v>
      </c>
      <c r="B28" s="61" t="s">
        <v>31</v>
      </c>
      <c r="C28" s="147">
        <f>IFERROR(_xlfn.XLOOKUP($B$4,'Daily KPI'!$A:$A,'Daily KPI'!$AF:$AF),"")</f>
        <v>0.31292618558052182</v>
      </c>
      <c r="D28" s="79">
        <f>_xlfn.XLOOKUP($B$4,'Daily KPI'!$A:$A,'Daily KPI'!$W:$W)</f>
        <v>0.52564102564102566</v>
      </c>
      <c r="E28" s="64">
        <f>D28/C28-1</f>
        <v>0.67976043508755302</v>
      </c>
      <c r="F28" s="164"/>
    </row>
    <row r="29" spans="1:6">
      <c r="A29" s="392"/>
      <c r="B29" s="65" t="s">
        <v>32</v>
      </c>
      <c r="C29" s="148">
        <f>MonthlyKPI!$G$4</f>
        <v>0.31292618558052182</v>
      </c>
      <c r="D29" s="80">
        <f>MonthlyKPI!H4</f>
        <v>0.28015030946065428</v>
      </c>
      <c r="E29" s="68">
        <f t="shared" si="0"/>
        <v>-0.10473995986965332</v>
      </c>
      <c r="F29" s="165"/>
    </row>
    <row r="30" spans="1:6" ht="15.75" thickBot="1">
      <c r="A30" s="393"/>
      <c r="B30" s="69" t="s">
        <v>33</v>
      </c>
      <c r="C30" s="149">
        <f>AnnualKPI!$G$4</f>
        <v>0.26514908910586837</v>
      </c>
      <c r="D30" s="81">
        <f>AnnualKPI!H4</f>
        <v>0.2418429487179487</v>
      </c>
      <c r="E30" s="72">
        <f t="shared" si="0"/>
        <v>-8.7898247987621886E-2</v>
      </c>
      <c r="F30" s="166"/>
    </row>
    <row r="31" spans="1:6">
      <c r="A31" s="391">
        <v>8</v>
      </c>
      <c r="B31" s="61" t="s">
        <v>34</v>
      </c>
      <c r="C31" s="80">
        <v>0.05</v>
      </c>
      <c r="D31" s="79">
        <f>_xlfn.XLOOKUP($B$4,'Daily KPI'!$A:$A,'Daily KPI'!$AN:$AN)</f>
        <v>3.5917277861206021E-3</v>
      </c>
      <c r="E31" s="64">
        <f>-(D31-C31)/(C31)</f>
        <v>0.92816544427758796</v>
      </c>
      <c r="F31" s="164"/>
    </row>
    <row r="32" spans="1:6">
      <c r="A32" s="392"/>
      <c r="B32" s="65" t="s">
        <v>35</v>
      </c>
      <c r="C32" s="80">
        <v>0.05</v>
      </c>
      <c r="D32" s="151">
        <f>MonthlyKPI!$U$4</f>
        <v>1.2391167697551607E-2</v>
      </c>
      <c r="E32" s="68">
        <f t="shared" ref="E32:E33" si="1">-(D32-C32)/(C32)</f>
        <v>0.75217664604896783</v>
      </c>
      <c r="F32" s="165"/>
    </row>
    <row r="33" spans="1:6" ht="15.75" thickBot="1">
      <c r="A33" s="393"/>
      <c r="B33" s="69" t="s">
        <v>36</v>
      </c>
      <c r="C33" s="80">
        <v>0.05</v>
      </c>
      <c r="D33" s="81">
        <f>AnnualKPI!$R$4</f>
        <v>1.8266663782283744E-2</v>
      </c>
      <c r="E33" s="72">
        <f t="shared" si="1"/>
        <v>0.63466672435432525</v>
      </c>
      <c r="F33" s="166"/>
    </row>
    <row r="34" spans="1:6">
      <c r="A34" s="391">
        <v>9</v>
      </c>
      <c r="B34" s="61" t="s">
        <v>37</v>
      </c>
      <c r="C34" s="79">
        <v>0.05</v>
      </c>
      <c r="D34" s="155">
        <f>_xlfn.XLOOKUP($B$4,'Daily KPI'!$A:$A,'Daily KPI'!$AO:$AO)</f>
        <v>0</v>
      </c>
      <c r="E34" s="64">
        <f>-(D34-C34)/(C34)</f>
        <v>1</v>
      </c>
      <c r="F34" s="164"/>
    </row>
    <row r="35" spans="1:6">
      <c r="A35" s="392"/>
      <c r="B35" s="65" t="s">
        <v>38</v>
      </c>
      <c r="C35" s="80">
        <v>0.05</v>
      </c>
      <c r="D35" s="156">
        <f>MonthlyKPI!$V$4</f>
        <v>1.5336180789763094E-5</v>
      </c>
      <c r="E35" s="68">
        <f>-(D35-C35)/(C35)</f>
        <v>0.9996932763842048</v>
      </c>
      <c r="F35" s="165"/>
    </row>
    <row r="36" spans="1:6" ht="15.75" thickBot="1">
      <c r="A36" s="393"/>
      <c r="B36" s="69" t="s">
        <v>39</v>
      </c>
      <c r="C36" s="80">
        <v>0.05</v>
      </c>
      <c r="D36" s="157">
        <f>AnnualKPI!$S$4</f>
        <v>4.2465519639093149E-5</v>
      </c>
      <c r="E36" s="72">
        <f>-(D36-C36)/(C36)</f>
        <v>0.99915068960721809</v>
      </c>
      <c r="F36" s="166"/>
    </row>
    <row r="37" spans="1:6">
      <c r="A37" s="391">
        <v>10</v>
      </c>
      <c r="B37" s="61" t="s">
        <v>40</v>
      </c>
      <c r="C37" s="152">
        <f>IFERROR(_xlfn.XLOOKUP($B$4,'Daily KPI'!$A:$A,'Daily KPI'!$AI:$AI),"")</f>
        <v>987.54</v>
      </c>
      <c r="D37" s="62">
        <f>IFERROR(_xlfn.XLOOKUP($B$4,'Daily KPI'!$A:$A,'Daily KPI'!$X:$X)/1000,"")</f>
        <v>987.54700000000003</v>
      </c>
      <c r="E37" s="64">
        <f t="shared" si="0"/>
        <v>7.0883204731573868E-6</v>
      </c>
      <c r="F37" s="164"/>
    </row>
    <row r="38" spans="1:6">
      <c r="A38" s="392"/>
      <c r="B38" s="65" t="s">
        <v>41</v>
      </c>
      <c r="C38" s="153">
        <f>MonthlyKPI!$T$4</f>
        <v>15344.158000000003</v>
      </c>
      <c r="D38" s="66">
        <f>IFERROR(SUMIF('Daily KPI'!$D:$D,O2Summary!$B$3,'Daily KPI'!$X:$X)/1000,"")</f>
        <v>15344.192999999999</v>
      </c>
      <c r="E38" s="68">
        <f t="shared" si="0"/>
        <v>2.2809984097020178E-6</v>
      </c>
      <c r="F38" s="165"/>
    </row>
    <row r="39" spans="1:6" ht="15.75" thickBot="1">
      <c r="A39" s="393"/>
      <c r="B39" s="69" t="s">
        <v>42</v>
      </c>
      <c r="C39" s="154">
        <f>AnnualKPI!$Q$4</f>
        <v>55005.875999999982</v>
      </c>
      <c r="D39" s="70">
        <f>IFERROR(SUMIFS('Daily KPI'!$X:$X,'Daily KPI'!$A:$A,"&gt;="&amp;O2Summary!$B$6,'Daily KPI'!$A:$A,"&lt;="&amp;O2Summary!B4)/1000,"")</f>
        <v>55178.53</v>
      </c>
      <c r="E39" s="72">
        <f t="shared" si="0"/>
        <v>3.1388282953627878E-3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45867</v>
      </c>
      <c r="C1" s="31">
        <f>O2Summary!B3</f>
        <v>45839</v>
      </c>
    </row>
    <row r="2" spans="1:19" ht="21">
      <c r="A2" s="394" t="s">
        <v>44</v>
      </c>
      <c r="B2" s="395"/>
      <c r="C2" s="395"/>
      <c r="D2" s="395"/>
      <c r="E2" s="395"/>
      <c r="F2" s="395"/>
      <c r="G2" s="395"/>
      <c r="H2" s="395"/>
      <c r="I2" s="395"/>
      <c r="J2" s="395"/>
      <c r="K2" s="395"/>
      <c r="L2" s="395"/>
      <c r="M2" s="395"/>
      <c r="N2" s="395"/>
      <c r="O2" s="395"/>
      <c r="P2" s="395"/>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120</v>
      </c>
      <c r="C4" s="33">
        <f>_xlfn.XLOOKUP($C$1,'Modelling New'!$D:$D,'Modelling New'!$AD:$AD)</f>
        <v>6.2836120320091453</v>
      </c>
      <c r="D4" s="34">
        <f>AVERAGEIFS('Daily KPI'!$M:$M,'Daily KPI'!$A:$A,"&gt;="&amp;O2Summary!$B$6,'Daily KPI'!$A:$A,"&lt;="&amp;AnnualKPI!$B$1)</f>
        <v>5.1338258730482078</v>
      </c>
      <c r="E4" s="32">
        <f>_xlfn.XLOOKUP($C$1,'Modelling New'!$D:$D,'Modelling New'!$V:$V)</f>
        <v>59563.091376742275</v>
      </c>
      <c r="F4" s="35">
        <f>SUMIFS('Daily KPI'!$AA:$AA,'Daily KPI'!$A:$A,"&gt;="&amp;O2Summary!$B$6,'Daily KPI'!$A:$A,"&lt;="&amp;AnnualKPI!$B$1)/1000</f>
        <v>54327.6</v>
      </c>
      <c r="G4" s="36">
        <f>_xlfn.XLOOKUP($C$1,'Modelling New'!$D:$D,'Modelling New'!$Y:$Y)</f>
        <v>0.26514908910586837</v>
      </c>
      <c r="H4" s="37">
        <f>IFERROR(F4/(B4*24*'Basic Data'!$K$3),"")</f>
        <v>0.2418429487179487</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0.9278520722653989</v>
      </c>
      <c r="M4" s="36">
        <f>_xlfn.XLOOKUP($C$1,'Modelling New'!$D:$D,'Modelling New'!$AI:$AI)</f>
        <v>0.99</v>
      </c>
      <c r="N4" s="38">
        <f>AVERAGEIFS('Daily KPI'!$Q:$Q,'Daily KPI'!$A:$A,"&gt;="&amp;O2Summary!$B$6,'Daily KPI'!$A:$A,"&lt;="&amp;AnnualKPI!$B$1)</f>
        <v>0.99420850499558555</v>
      </c>
      <c r="O4" s="36">
        <f>K4*M4</f>
        <v>0.96029999999999993</v>
      </c>
      <c r="P4" s="38">
        <f>L4*N4</f>
        <v>0.92247842162403826</v>
      </c>
      <c r="Q4" s="35">
        <f>SUMIFS('Daily KPI'!$AI:$AI,'Daily KPI'!$A:$A,"&gt;="&amp;O2Summary!$B$6,'Daily KPI'!$A:$A,"&lt;="&amp;AnnualKPI!$B$1)</f>
        <v>55005.875999999982</v>
      </c>
      <c r="R4" s="38">
        <f>AVERAGEIFS('Daily KPI'!$AN:$AN,'Daily KPI'!$A:$A,"&gt;="&amp;O2Summary!$B$6,'Daily KPI'!$A:$A,"&lt;="&amp;AnnualKPI!$B$1)</f>
        <v>1.8266663782283744E-2</v>
      </c>
      <c r="S4" s="38">
        <f>AVERAGEIFS('Daily KPI'!$AO:$AO,'Daily KPI'!$A:$A,"&gt;="&amp;O2Summary!$B$6,'Daily KPI'!$A:$A,"&lt;="&amp;AnnualKPI!$B$1)</f>
        <v>4.2465519639093149E-5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45867</v>
      </c>
      <c r="C1" s="28">
        <v>0</v>
      </c>
      <c r="D1" s="28">
        <v>0</v>
      </c>
      <c r="E1" s="28">
        <v>0</v>
      </c>
      <c r="F1" s="28">
        <v>0</v>
      </c>
    </row>
    <row r="2" spans="1:22" ht="29.1" customHeight="1">
      <c r="A2" s="394" t="s">
        <v>64</v>
      </c>
      <c r="B2" s="395"/>
      <c r="C2" s="395"/>
      <c r="D2" s="395"/>
      <c r="E2" s="395"/>
      <c r="F2" s="395"/>
      <c r="G2" s="395"/>
      <c r="H2" s="395"/>
      <c r="I2" s="395"/>
      <c r="J2" s="395"/>
      <c r="K2" s="395"/>
      <c r="L2" s="395"/>
      <c r="M2" s="395"/>
      <c r="N2" s="395"/>
      <c r="O2" s="395"/>
      <c r="P2" s="395"/>
      <c r="Q2" s="395"/>
      <c r="R2" s="395"/>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29</v>
      </c>
      <c r="C4" s="33">
        <f>_xlfn.XLOOKUP($A$4,'Modelling New'!$D:$D,'Modelling New'!$AC:$AC)</f>
        <v>7.1310648756787653</v>
      </c>
      <c r="D4" s="34">
        <f>AVERAGEIF('Daily KPI'!$D:$D,$A$4,'Daily KPI'!$M:$M)</f>
        <v>5.1871484134541124</v>
      </c>
      <c r="E4" s="32">
        <f>_xlfn.XLOOKUP($A$4,'Modelling New'!$D:$D,'Modelling New'!$U:$U)</f>
        <v>16988.13676279537</v>
      </c>
      <c r="F4" s="35">
        <f>SUMIFS('Daily KPI'!$AA:$AA,'Daily KPI'!$D:$D,$A$4)/1000</f>
        <v>15208.8</v>
      </c>
      <c r="G4" s="36">
        <f>_xlfn.XLOOKUP($A$4,'Modelling New'!$D:$D,'Modelling New'!$X:$X)</f>
        <v>0.31292618558052182</v>
      </c>
      <c r="H4" s="37">
        <f>F4/(24*B4*'Basic Data'!$K$3)</f>
        <v>0.28015030946065428</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0.93379391437338299</v>
      </c>
      <c r="M4" s="36">
        <f>_xlfn.XLOOKUP($A$4,'Modelling New'!$D:$D,'Modelling New'!$AI:$AI)</f>
        <v>0.99</v>
      </c>
      <c r="N4" s="37">
        <f>AVERAGEIFS('Daily KPI'!$Q:$Q,'Daily KPI'!$A:$A,"&lt;="&amp;MonthlyKPI!$B$1,'Daily KPI'!$D:$D,$A$4)</f>
        <v>0.99625995688249014</v>
      </c>
      <c r="O4" s="36">
        <f>K4*M4</f>
        <v>0.96029999999999993</v>
      </c>
      <c r="P4" s="38">
        <f>L4*N4</f>
        <v>0.93030148487075826</v>
      </c>
      <c r="Q4" s="32">
        <f>SUMIFS('Daily KPI'!$X:$X,'Daily KPI'!$D:$D,$A$4)/1000</f>
        <v>15344.192999999999</v>
      </c>
      <c r="R4" s="38">
        <f>Q4/F4-1</f>
        <v>8.9022802587974681E-3</v>
      </c>
      <c r="S4" s="32">
        <f>SUMIFS(Input_Raw!DE:DE,Input_Raw!A:A,"&gt;="&amp;A4,Input_Raw!A:A,"&lt;="&amp;B1)/1000</f>
        <v>15.344158000000004</v>
      </c>
      <c r="T4" s="35">
        <f>SUMIFS('Daily KPI'!$AI:$AI,'Daily KPI'!$D:$D,$A$4)</f>
        <v>15344.158000000003</v>
      </c>
      <c r="U4" s="37">
        <f>IFERROR(AVERAGEIFS('Daily KPI'!$AN:$AN,'Daily KPI'!$D:$D,MonthlyKPI!$A$4,'Daily KPI'!$A:$A,"&lt;="&amp;MonthlyKPI!$B$1),"")</f>
        <v>1.2391167697551607E-2</v>
      </c>
      <c r="V4" s="38">
        <f>AVERAGEIFS('Daily KPI'!$AO:$AO,'Daily KPI'!$A:$A,"&lt;="&amp;MonthlyKPI!$B$1,'Daily KPI'!$D:$D,$A$4)</f>
        <v>1.5336180789763094E-5</v>
      </c>
    </row>
    <row r="6" spans="1:22" ht="29.1" customHeight="1">
      <c r="Q6" s="3"/>
    </row>
    <row r="7" spans="1:22" ht="29.1" customHeight="1">
      <c r="A7" s="26" t="s">
        <v>69</v>
      </c>
      <c r="B7" s="27">
        <f>B8-6</f>
        <v>45861</v>
      </c>
      <c r="D7" s="40"/>
      <c r="F7" s="40"/>
    </row>
    <row r="8" spans="1:22" ht="29.1" customHeight="1">
      <c r="A8" s="26" t="s">
        <v>70</v>
      </c>
      <c r="B8" s="27">
        <f>B1</f>
        <v>45867</v>
      </c>
    </row>
    <row r="9" spans="1:22" ht="29.1" customHeight="1">
      <c r="A9" s="394" t="s">
        <v>71</v>
      </c>
      <c r="B9" s="395"/>
      <c r="C9" s="395"/>
      <c r="D9" s="395"/>
      <c r="E9" s="395"/>
      <c r="F9" s="395"/>
      <c r="G9" s="395"/>
      <c r="H9" s="395"/>
      <c r="I9" s="395"/>
      <c r="J9" s="395"/>
      <c r="K9" s="395"/>
      <c r="L9" s="395"/>
      <c r="M9" s="395"/>
      <c r="N9" s="395"/>
      <c r="O9" s="395"/>
      <c r="P9" s="395"/>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6.1960113094656863</v>
      </c>
      <c r="E11" s="32">
        <f>SUMIFS('Daily KPI'!$AD:$AD,'Daily KPI'!$A:$A,"&gt;="&amp;$B$7,'Daily KPI'!$A:$A,"&lt;="&amp;$B$8)/1000</f>
        <v>4100.5847358471574</v>
      </c>
      <c r="F11" s="35">
        <f>SUMIFS('Daily KPI'!$AA:$AA,'Daily KPI'!$A:$A,"&gt;="&amp;$B$7,'Daily KPI'!$A:$A,"&lt;="&amp;$B$8)/1000</f>
        <v>5114.3999999999996</v>
      </c>
      <c r="G11" s="36">
        <f>E11/(24*$B$11*'Basic Data'!$K$3)</f>
        <v>0.31292618558052177</v>
      </c>
      <c r="H11" s="37">
        <f>F11/(24*B11*'Basic Data'!$K$3)</f>
        <v>0.39029304029304024</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0.95843875187128336</v>
      </c>
      <c r="M11" s="36">
        <f>_xlfn.XLOOKUP($A$4,'Modelling New'!$D:$D,'Modelling New'!$AI:$AI)</f>
        <v>0.99</v>
      </c>
      <c r="N11" s="37">
        <f>AVERAGEIFS('Daily KPI'!$Q:$Q,'Daily KPI'!$A:$A,"&gt;="&amp;$B$7,'Daily KPI'!$A:$A,"&lt;="&amp;$B$8)</f>
        <v>0.99219644082512015</v>
      </c>
      <c r="O11" s="36">
        <f>K11*M11</f>
        <v>0.96029999999999993</v>
      </c>
      <c r="P11" s="38">
        <f>L11*N11</f>
        <v>0.95095951835555781</v>
      </c>
      <c r="Q11" s="32">
        <f>SUMIFS(Input_Raw!DE:DE,Input_Raw!A:A,"&gt;="&amp;B7,Input_Raw!A:A,"&lt;="&amp;B8)/1000</f>
        <v>5.1458099999999991</v>
      </c>
      <c r="R11"/>
    </row>
    <row r="14" spans="1:22" ht="29.1" customHeight="1">
      <c r="A14" s="26" t="s">
        <v>69</v>
      </c>
      <c r="B14" s="27">
        <f>B15-29</f>
        <v>45838</v>
      </c>
      <c r="D14" s="40"/>
      <c r="F14" s="40"/>
    </row>
    <row r="15" spans="1:22" ht="29.1" customHeight="1">
      <c r="A15" s="26" t="s">
        <v>70</v>
      </c>
      <c r="B15" s="27">
        <f>B8</f>
        <v>45867</v>
      </c>
    </row>
    <row r="16" spans="1:22" ht="29.1" customHeight="1">
      <c r="A16" s="394" t="s">
        <v>72</v>
      </c>
      <c r="B16" s="395"/>
      <c r="C16" s="395"/>
      <c r="D16" s="395"/>
      <c r="E16" s="395"/>
      <c r="F16" s="395"/>
      <c r="G16" s="395"/>
      <c r="H16" s="395"/>
      <c r="I16" s="395"/>
      <c r="J16" s="395"/>
      <c r="K16" s="395"/>
      <c r="L16" s="395"/>
      <c r="M16" s="395"/>
      <c r="N16" s="395"/>
      <c r="O16" s="395"/>
      <c r="P16" s="395"/>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5.2385597056552156</v>
      </c>
      <c r="E18" s="32">
        <f>SUMIFS('Daily KPI'!$AD:$AD,'Daily KPI'!$A:$A,"&gt;="&amp;$B$14,'Daily KPI'!$A:$A,"&lt;="&amp;$B$15)/1000</f>
        <v>17489.412104908846</v>
      </c>
      <c r="F18" s="35">
        <f>SUMIFS('Daily KPI'!$AA:$AA,'Daily KPI'!$A:$A,"&gt;="&amp;$B$14,'Daily KPI'!$A:$A,"&lt;="&amp;$B$15)/1000</f>
        <v>16006.8</v>
      </c>
      <c r="G18" s="36">
        <f>E18/(24*$B$18*'Basic Data'!$K$3)</f>
        <v>0.31142115571418888</v>
      </c>
      <c r="H18" s="37">
        <f>F18/(24*B18*'Basic Data'!$K$3)</f>
        <v>0.28502136752136753</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0.9333436172421341</v>
      </c>
      <c r="M18" s="36">
        <f>_xlfn.XLOOKUP($A$4,'Modelling New'!$D:$D,'Modelling New'!$AI:$AI)</f>
        <v>0.99</v>
      </c>
      <c r="N18" s="37">
        <f>AVERAGEIFS('Daily KPI'!$Q:$Q,'Daily KPI'!$A:$A,"&gt;="&amp;$B$14,'Daily KPI'!$A:$A,"&lt;="&amp;$B$15)</f>
        <v>0.99638462498640712</v>
      </c>
      <c r="O18" s="36">
        <f>K18*M18</f>
        <v>0.96029999999999993</v>
      </c>
      <c r="P18" s="38">
        <f>L18*N18</f>
        <v>0.92996923004926046</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45867</v>
      </c>
      <c r="C3">
        <f>((B3-B2)+1)*24</f>
        <v>696</v>
      </c>
      <c r="D3" s="358">
        <f>MEDIAN(B21:AN21)</f>
        <v>5.6</v>
      </c>
    </row>
    <row r="4" spans="1:40" ht="29.1"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 customHeight="1">
      <c r="A5" s="359" t="s">
        <v>154</v>
      </c>
      <c r="B5" s="361">
        <f>IFERROR(($C$3-B6)/$C$3,1)</f>
        <v>0.92847262132822483</v>
      </c>
      <c r="C5" s="361">
        <f>IFERROR(($C$3-C6)/$C$3,1)</f>
        <v>0.97849656768837801</v>
      </c>
      <c r="D5" s="361">
        <f t="shared" ref="D5:AN5" si="0">IFERROR(($C$3-D6)/$C$3,1)</f>
        <v>0.99748563218390807</v>
      </c>
      <c r="E5" s="361">
        <f t="shared" si="0"/>
        <v>0.97849616858237543</v>
      </c>
      <c r="F5" s="361">
        <f t="shared" si="0"/>
        <v>0.99916187739463591</v>
      </c>
      <c r="G5" s="361">
        <f t="shared" si="0"/>
        <v>0.99465996168582371</v>
      </c>
      <c r="H5" s="361">
        <f t="shared" si="0"/>
        <v>0.99791666666666656</v>
      </c>
      <c r="I5" s="361">
        <f t="shared" si="0"/>
        <v>1</v>
      </c>
      <c r="J5" s="361">
        <f t="shared" si="0"/>
        <v>0.99688697318007669</v>
      </c>
      <c r="K5" s="361">
        <f t="shared" si="0"/>
        <v>0.99868295019157094</v>
      </c>
      <c r="L5" s="361">
        <f t="shared" si="0"/>
        <v>0.99032567049808429</v>
      </c>
      <c r="M5" s="361">
        <f t="shared" si="0"/>
        <v>0.97341993933588766</v>
      </c>
      <c r="N5" s="361">
        <f t="shared" si="0"/>
        <v>0.99784482758620685</v>
      </c>
      <c r="O5" s="361">
        <f t="shared" si="0"/>
        <v>0.99619252873563224</v>
      </c>
      <c r="P5" s="361">
        <f t="shared" si="0"/>
        <v>0.99281609195402298</v>
      </c>
      <c r="Q5" s="361">
        <f t="shared" si="0"/>
        <v>0.94487587803320561</v>
      </c>
      <c r="R5" s="361">
        <f t="shared" si="0"/>
        <v>0.45237667624521077</v>
      </c>
      <c r="S5" s="361">
        <f t="shared" si="0"/>
        <v>1</v>
      </c>
      <c r="T5" s="361">
        <f t="shared" si="0"/>
        <v>1</v>
      </c>
      <c r="U5" s="361">
        <f t="shared" si="0"/>
        <v>0.99607279693486583</v>
      </c>
      <c r="V5" s="361">
        <f t="shared" si="0"/>
        <v>0.99875478927203065</v>
      </c>
      <c r="W5" s="361">
        <f t="shared" si="0"/>
        <v>0.98311781609195403</v>
      </c>
      <c r="X5" s="361">
        <f t="shared" si="0"/>
        <v>0.99631226053639843</v>
      </c>
      <c r="Y5" s="361">
        <f t="shared" si="0"/>
        <v>0.99159482758620687</v>
      </c>
      <c r="Z5" s="361">
        <f t="shared" si="0"/>
        <v>0.99018199233716475</v>
      </c>
      <c r="AA5" s="361">
        <f t="shared" si="0"/>
        <v>0.99286398467432946</v>
      </c>
      <c r="AB5" s="361">
        <f t="shared" si="0"/>
        <v>0.98996647509578539</v>
      </c>
      <c r="AC5" s="361">
        <f t="shared" si="0"/>
        <v>1.157407407436301E-5</v>
      </c>
      <c r="AD5" s="361">
        <f t="shared" si="0"/>
        <v>0.99533045977011492</v>
      </c>
      <c r="AE5" s="361">
        <f t="shared" si="0"/>
        <v>0.33156888569604093</v>
      </c>
      <c r="AF5" s="361">
        <f t="shared" si="0"/>
        <v>0.97713122605363989</v>
      </c>
      <c r="AG5" s="361">
        <f t="shared" si="0"/>
        <v>0.99032567049808429</v>
      </c>
      <c r="AH5" s="361">
        <f t="shared" si="0"/>
        <v>1</v>
      </c>
      <c r="AI5" s="361">
        <f t="shared" si="0"/>
        <v>0.99612068965517231</v>
      </c>
      <c r="AJ5" s="361">
        <f t="shared" si="0"/>
        <v>0.99164272030651335</v>
      </c>
      <c r="AK5" s="361">
        <f t="shared" si="0"/>
        <v>1</v>
      </c>
      <c r="AL5" s="361">
        <f t="shared" si="0"/>
        <v>1</v>
      </c>
      <c r="AM5" s="361">
        <f t="shared" si="0"/>
        <v>1</v>
      </c>
      <c r="AN5" s="361">
        <f t="shared" si="0"/>
        <v>0.99875478927203065</v>
      </c>
    </row>
    <row r="6" spans="1:40" ht="29.1" hidden="1" customHeight="1">
      <c r="A6" s="362" t="s">
        <v>155</v>
      </c>
      <c r="B6" s="363">
        <f>SUMIFS(WTG_BD!$T:$T,WTG_BD!$F:$F,"&gt;="&amp;Analytices!$B$2,WTG_BD!$F:$F,"&lt;="&amp;Analytices!$B$3,WTG_BD!$G:$G,B4)</f>
        <v>49.783055555555556</v>
      </c>
      <c r="C6" s="363">
        <f>SUMIFS(WTG_BD!$T:$T,WTG_BD!$F:$F,"&gt;="&amp;Analytices!$B$2,WTG_BD!$F:$F,"&lt;="&amp;Analytices!$B$3,WTG_BD!$G:$G,C4)</f>
        <v>14.966388888888888</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0.91666666666666741</v>
      </c>
      <c r="L6" s="363">
        <f>SUMIFS(WTG_BD!$T:$T,WTG_BD!$F:$F,"&gt;="&amp;Analytices!$B$2,WTG_BD!$F:$F,"&lt;="&amp;Analytices!$B$3,WTG_BD!$G:$G,L4)</f>
        <v>6.7333333333333325</v>
      </c>
      <c r="M6" s="363">
        <f>SUMIFS(WTG_BD!$T:$T,WTG_BD!$F:$F,"&gt;="&amp;Analytices!$B$2,WTG_BD!$F:$F,"&lt;="&amp;Analytices!$B$3,WTG_BD!$G:$G,M4)</f>
        <v>18.499722222222232</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5.0000000000000009</v>
      </c>
      <c r="Q6" s="363">
        <f>SUMIFS(WTG_BD!$T:$T,WTG_BD!$F:$F,"&gt;="&amp;Analytices!$B$2,WTG_BD!$F:$F,"&lt;="&amp;Analytices!$B$3,WTG_BD!$G:$G,Q4)</f>
        <v>38.366388888888885</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2.7333333333333343</v>
      </c>
      <c r="V6" s="363">
        <f>SUMIFS(WTG_BD!$T:$T,WTG_BD!$F:$F,"&gt;="&amp;Analytices!$B$2,WTG_BD!$F:$F,"&lt;="&amp;Analytices!$B$3,WTG_BD!$G:$G,V4)</f>
        <v>0.86666666666666625</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5.85</v>
      </c>
      <c r="Z6" s="363">
        <f>SUMIFS(WTG_BD!$T:$T,WTG_BD!$F:$F,"&gt;="&amp;Analytices!$B$2,WTG_BD!$F:$F,"&lt;="&amp;Analytices!$B$3,WTG_BD!$G:$G,Z4)</f>
        <v>6.8333333333333321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695.99194444444424</v>
      </c>
      <c r="AD6" s="363">
        <f>SUMIFS(WTG_BD!$T:$T,WTG_BD!$F:$F,"&gt;="&amp;Analytices!$B$2,WTG_BD!$F:$F,"&lt;="&amp;Analytices!$B$3,WTG_BD!$G:$G,AD4)</f>
        <v>3.2500000000000004</v>
      </c>
      <c r="AE6" s="363">
        <f>SUMIFS(WTG_BD!$T:$T,WTG_BD!$F:$F,"&gt;="&amp;Analytices!$B$2,WTG_BD!$F:$F,"&lt;="&amp;Analytices!$B$3,WTG_BD!$G:$G,AE4)</f>
        <v>465.2280555555555</v>
      </c>
      <c r="AF6" s="363">
        <f>SUMIFS(WTG_BD!$T:$T,WTG_BD!$F:$F,"&gt;="&amp;Analytices!$B$2,WTG_BD!$F:$F,"&lt;="&amp;Analytices!$B$3,WTG_BD!$G:$G,AF4)</f>
        <v>15.916666666666663</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156</v>
      </c>
      <c r="B7" s="364">
        <f>($C$3-SUM(B8:B12))/$C$3</f>
        <v>0.99044580140485317</v>
      </c>
      <c r="C7" s="364">
        <f t="shared" ref="C7:AN7" si="1">($C$3-SUM(C8:C12))/$C$3</f>
        <v>0.99044580140485317</v>
      </c>
      <c r="D7" s="364">
        <f t="shared" si="1"/>
        <v>0.99044580140485317</v>
      </c>
      <c r="E7" s="364">
        <f t="shared" si="1"/>
        <v>0.99044580140485317</v>
      </c>
      <c r="F7" s="364">
        <f t="shared" si="1"/>
        <v>0.99882662835249036</v>
      </c>
      <c r="G7" s="364">
        <f t="shared" si="1"/>
        <v>0.99044580140485317</v>
      </c>
      <c r="H7" s="364">
        <f t="shared" si="1"/>
        <v>0.99044580140485317</v>
      </c>
      <c r="I7" s="364">
        <f t="shared" si="1"/>
        <v>0.99044580140485317</v>
      </c>
      <c r="J7" s="364">
        <f t="shared" si="1"/>
        <v>0.99734195402298842</v>
      </c>
      <c r="K7" s="364">
        <f t="shared" si="1"/>
        <v>0.99044580140485317</v>
      </c>
      <c r="L7" s="364">
        <f t="shared" si="1"/>
        <v>0.99044580140485317</v>
      </c>
      <c r="M7" s="364">
        <f t="shared" si="1"/>
        <v>0.99734195402298842</v>
      </c>
      <c r="N7" s="364">
        <f t="shared" si="1"/>
        <v>0.99734195402298842</v>
      </c>
      <c r="O7" s="364">
        <f t="shared" si="1"/>
        <v>0.99734195402298842</v>
      </c>
      <c r="P7" s="364">
        <f t="shared" si="1"/>
        <v>0.99734195402298842</v>
      </c>
      <c r="Q7" s="364">
        <f t="shared" si="1"/>
        <v>0.99734195402298842</v>
      </c>
      <c r="R7" s="364">
        <f t="shared" si="1"/>
        <v>0.99734195402298842</v>
      </c>
      <c r="S7" s="364">
        <f t="shared" si="1"/>
        <v>0.99734195402298842</v>
      </c>
      <c r="T7" s="364">
        <f t="shared" si="1"/>
        <v>0.99734195402298842</v>
      </c>
      <c r="U7" s="364">
        <f t="shared" si="1"/>
        <v>0.99734195402298842</v>
      </c>
      <c r="V7" s="364">
        <f t="shared" si="1"/>
        <v>0.99882662835249036</v>
      </c>
      <c r="W7" s="364">
        <f t="shared" si="1"/>
        <v>0.99882662835249036</v>
      </c>
      <c r="X7" s="364">
        <f t="shared" si="1"/>
        <v>0.99882662835249036</v>
      </c>
      <c r="Y7" s="364">
        <f t="shared" si="1"/>
        <v>0.99882662835249036</v>
      </c>
      <c r="Z7" s="364">
        <f t="shared" si="1"/>
        <v>1</v>
      </c>
      <c r="AA7" s="364">
        <f t="shared" si="1"/>
        <v>0.99882662835249036</v>
      </c>
      <c r="AB7" s="364">
        <f t="shared" si="1"/>
        <v>0.99882662835249036</v>
      </c>
      <c r="AC7" s="364">
        <f t="shared" si="1"/>
        <v>0.99882662835249036</v>
      </c>
      <c r="AD7" s="364">
        <f t="shared" si="1"/>
        <v>0.99882662835249036</v>
      </c>
      <c r="AE7" s="364">
        <f t="shared" si="1"/>
        <v>0.99882662835249036</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158</v>
      </c>
      <c r="B9" s="363">
        <f>SUMIFS(IGA_BD!$Q:$Q,IGA_BD!$G:$G,(VLOOKUP(B$4,'Basic Data'!$A:$F,6,0)),IGA_BD!$F:$F,"&gt;="&amp;Analytices!$B$2,IGA_BD!$F:$F,"&lt;="&amp;Analytices!$B$3)</f>
        <v>6.6497222222222199</v>
      </c>
      <c r="C9" s="363">
        <f>SUMIFS(IGA_BD!$Q:$Q,IGA_BD!$G:$G,(VLOOKUP(C$4,'Basic Data'!$A:$F,6,0)),IGA_BD!$F:$F,"&gt;="&amp;Analytices!$B$2,IGA_BD!$F:$F,"&lt;="&amp;Analytices!$B$3)</f>
        <v>6.6497222222222199</v>
      </c>
      <c r="D9" s="363">
        <f>SUMIFS(IGA_BD!$Q:$Q,IGA_BD!$G:$G,(VLOOKUP(D$4,'Basic Data'!$A:$F,6,0)),IGA_BD!$F:$F,"&gt;="&amp;Analytices!$B$2,IGA_BD!$F:$F,"&lt;="&amp;Analytices!$B$3)</f>
        <v>6.6497222222222199</v>
      </c>
      <c r="E9" s="363">
        <f>SUMIFS(IGA_BD!$Q:$Q,IGA_BD!$G:$G,(VLOOKUP(E$4,'Basic Data'!$A:$F,6,0)),IGA_BD!$F:$F,"&gt;="&amp;Analytices!$B$2,IGA_BD!$F:$F,"&lt;="&amp;Analytices!$B$3)</f>
        <v>6.6497222222222199</v>
      </c>
      <c r="F9" s="363">
        <f>SUMIFS(IGA_BD!$Q:$Q,IGA_BD!$G:$G,(VLOOKUP(F$4,'Basic Data'!$A:$F,6,0)),IGA_BD!$F:$F,"&gt;="&amp;Analytices!$B$2,IGA_BD!$F:$F,"&lt;="&amp;Analytices!$B$3)</f>
        <v>0.81666666666666643</v>
      </c>
      <c r="G9" s="363">
        <f>SUMIFS(IGA_BD!$Q:$Q,IGA_BD!$G:$G,(VLOOKUP(G$4,'Basic Data'!$A:$F,6,0)),IGA_BD!$F:$F,"&gt;="&amp;Analytices!$B$2,IGA_BD!$F:$F,"&lt;="&amp;Analytices!$B$3)</f>
        <v>6.6497222222222199</v>
      </c>
      <c r="H9" s="363">
        <f>SUMIFS(IGA_BD!$Q:$Q,IGA_BD!$G:$G,(VLOOKUP(H$4,'Basic Data'!$A:$F,6,0)),IGA_BD!$F:$F,"&gt;="&amp;Analytices!$B$2,IGA_BD!$F:$F,"&lt;="&amp;Analytices!$B$3)</f>
        <v>6.6497222222222199</v>
      </c>
      <c r="I9" s="363">
        <f>SUMIFS(IGA_BD!$Q:$Q,IGA_BD!$G:$G,(VLOOKUP(I$4,'Basic Data'!$A:$F,6,0)),IGA_BD!$F:$F,"&gt;="&amp;Analytices!$B$2,IGA_BD!$F:$F,"&lt;="&amp;Analytices!$B$3)</f>
        <v>6.6497222222222199</v>
      </c>
      <c r="J9" s="363">
        <f>SUMIFS(IGA_BD!$Q:$Q,IGA_BD!$G:$G,(VLOOKUP(J$4,'Basic Data'!$A:$F,6,0)),IGA_BD!$F:$F,"&gt;="&amp;Analytices!$B$2,IGA_BD!$F:$F,"&lt;="&amp;Analytices!$B$3)</f>
        <v>1.85</v>
      </c>
      <c r="K9" s="363">
        <f>SUMIFS(IGA_BD!$Q:$Q,IGA_BD!$G:$G,(VLOOKUP(K$4,'Basic Data'!$A:$F,6,0)),IGA_BD!$F:$F,"&gt;="&amp;Analytices!$B$2,IGA_BD!$F:$F,"&lt;="&amp;Analytices!$B$3)</f>
        <v>6.6497222222222199</v>
      </c>
      <c r="L9" s="363">
        <f>SUMIFS(IGA_BD!$Q:$Q,IGA_BD!$G:$G,(VLOOKUP(L$4,'Basic Data'!$A:$F,6,0)),IGA_BD!$F:$F,"&gt;="&amp;Analytices!$B$2,IGA_BD!$F:$F,"&lt;="&amp;Analytices!$B$3)</f>
        <v>6.6497222222222199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164</v>
      </c>
      <c r="B15" s="84">
        <f>SUMIFS(Input_Raw!F:F,Input_Raw!$A:$A,"&gt;="&amp;Analytices!$B$2,Input_Raw!$A:$A,"&lt;="&amp;Analytices!$B$3)</f>
        <v>380900</v>
      </c>
      <c r="C15" s="84">
        <f>SUMIFS(Input_Raw!G:G,Input_Raw!$A:$A,"&gt;="&amp;Analytices!$B$2,Input_Raw!$A:$A,"&lt;="&amp;Analytices!$B$3)</f>
        <v>438638</v>
      </c>
      <c r="D15" s="84">
        <f>SUMIFS(Input_Raw!H:H,Input_Raw!$A:$A,"&gt;="&amp;Analytices!$B$2,Input_Raw!$A:$A,"&lt;="&amp;Analytices!$B$3)</f>
        <v>435648</v>
      </c>
      <c r="E15" s="84">
        <f>SUMIFS(Input_Raw!I:I,Input_Raw!$A:$A,"&gt;="&amp;Analytices!$B$2,Input_Raw!$A:$A,"&lt;="&amp;Analytices!$B$3)</f>
        <v>429160</v>
      </c>
      <c r="F15" s="84">
        <f>SUMIFS(Input_Raw!J:J,Input_Raw!$A:$A,"&gt;="&amp;Analytices!$B$2,Input_Raw!$A:$A,"&lt;="&amp;Analytices!$B$3)</f>
        <v>403057</v>
      </c>
      <c r="G15" s="84">
        <f>SUMIFS(Input_Raw!K:K,Input_Raw!$A:$A,"&gt;="&amp;Analytices!$B$2,Input_Raw!$A:$A,"&lt;="&amp;Analytices!$B$3)</f>
        <v>437469</v>
      </c>
      <c r="H15" s="84">
        <f>SUMIFS(Input_Raw!L:L,Input_Raw!$A:$A,"&gt;="&amp;Analytices!$B$2,Input_Raw!$A:$A,"&lt;="&amp;Analytices!$B$3)</f>
        <v>439634</v>
      </c>
      <c r="I15" s="84">
        <f>SUMIFS(Input_Raw!M:M,Input_Raw!$A:$A,"&gt;="&amp;Analytices!$B$2,Input_Raw!$A:$A,"&lt;="&amp;Analytices!$B$3)</f>
        <v>440719</v>
      </c>
      <c r="J15" s="84">
        <f>SUMIFS(Input_Raw!N:N,Input_Raw!$A:$A,"&gt;="&amp;Analytices!$B$2,Input_Raw!$A:$A,"&lt;="&amp;Analytices!$B$3)</f>
        <v>480372</v>
      </c>
      <c r="K15" s="84">
        <f>SUMIFS(Input_Raw!O:O,Input_Raw!$A:$A,"&gt;="&amp;Analytices!$B$2,Input_Raw!$A:$A,"&lt;="&amp;Analytices!$B$3)</f>
        <v>438102</v>
      </c>
      <c r="L15" s="84">
        <f>SUMIFS(Input_Raw!P:P,Input_Raw!$A:$A,"&gt;="&amp;Analytices!$B$2,Input_Raw!$A:$A,"&lt;="&amp;Analytices!$B$3)</f>
        <v>439527</v>
      </c>
      <c r="M15" s="84">
        <f>SUMIFS(Input_Raw!Q:Q,Input_Raw!$A:$A,"&gt;="&amp;Analytices!$B$2,Input_Raw!$A:$A,"&lt;="&amp;Analytices!$B$3)</f>
        <v>465779</v>
      </c>
      <c r="N15" s="84">
        <f>SUMIFS(Input_Raw!R:R,Input_Raw!$A:$A,"&gt;="&amp;Analytices!$B$2,Input_Raw!$A:$A,"&lt;="&amp;Analytices!$B$3)</f>
        <v>486287</v>
      </c>
      <c r="O15" s="84">
        <f>SUMIFS(Input_Raw!S:S,Input_Raw!$A:$A,"&gt;="&amp;Analytices!$B$2,Input_Raw!$A:$A,"&lt;="&amp;Analytices!$B$3)</f>
        <v>486384</v>
      </c>
      <c r="P15" s="84">
        <f>SUMIFS(Input_Raw!T:T,Input_Raw!$A:$A,"&gt;="&amp;Analytices!$B$2,Input_Raw!$A:$A,"&lt;="&amp;Analytices!$B$3)</f>
        <v>483432</v>
      </c>
      <c r="Q15" s="84">
        <f>SUMIFS(Input_Raw!U:U,Input_Raw!$A:$A,"&gt;="&amp;Analytices!$B$2,Input_Raw!$A:$A,"&lt;="&amp;Analytices!$B$3)</f>
        <v>473110</v>
      </c>
      <c r="R15" s="84">
        <f>SUMIFS(Input_Raw!V:V,Input_Raw!$A:$A,"&gt;="&amp;Analytices!$B$2,Input_Raw!$A:$A,"&lt;="&amp;Analytices!$B$3)</f>
        <v>191050</v>
      </c>
      <c r="S15" s="84">
        <f>SUMIFS(Input_Raw!W:W,Input_Raw!$A:$A,"&gt;="&amp;Analytices!$B$2,Input_Raw!$A:$A,"&lt;="&amp;Analytices!$B$3)</f>
        <v>482503</v>
      </c>
      <c r="T15" s="84">
        <f>SUMIFS(Input_Raw!X:X,Input_Raw!$A:$A,"&gt;="&amp;Analytices!$B$2,Input_Raw!$A:$A,"&lt;="&amp;Analytices!$B$3)</f>
        <v>487332</v>
      </c>
      <c r="U15" s="84">
        <f>SUMIFS(Input_Raw!Y:Y,Input_Raw!$A:$A,"&gt;="&amp;Analytices!$B$2,Input_Raw!$A:$A,"&lt;="&amp;Analytices!$B$3)</f>
        <v>484824</v>
      </c>
      <c r="V15" s="84">
        <f>SUMIFS(Input_Raw!Z:Z,Input_Raw!$A:$A,"&gt;="&amp;Analytices!$B$2,Input_Raw!$A:$A,"&lt;="&amp;Analytices!$B$3)</f>
        <v>404156</v>
      </c>
      <c r="W15" s="84">
        <f>SUMIFS(Input_Raw!AA:AA,Input_Raw!$A:$A,"&gt;="&amp;Analytices!$B$2,Input_Raw!$A:$A,"&lt;="&amp;Analytices!$B$3)</f>
        <v>401988</v>
      </c>
      <c r="X15" s="84">
        <f>SUMIFS(Input_Raw!AB:AB,Input_Raw!$A:$A,"&gt;="&amp;Analytices!$B$2,Input_Raw!$A:$A,"&lt;="&amp;Analytices!$B$3)</f>
        <v>403743</v>
      </c>
      <c r="Y15" s="84">
        <f>SUMIFS(Input_Raw!AC:AC,Input_Raw!$A:$A,"&gt;="&amp;Analytices!$B$2,Input_Raw!$A:$A,"&lt;="&amp;Analytices!$B$3)</f>
        <v>403536</v>
      </c>
      <c r="Z15" s="84">
        <f>SUMIFS(Input_Raw!AD:AD,Input_Raw!$A:$A,"&gt;="&amp;Analytices!$B$2,Input_Raw!$A:$A,"&lt;="&amp;Analytices!$B$3)</f>
        <v>356130</v>
      </c>
      <c r="AA15" s="84">
        <f>SUMIFS(Input_Raw!AE:AE,Input_Raw!$A:$A,"&gt;="&amp;Analytices!$B$2,Input_Raw!$A:$A,"&lt;="&amp;Analytices!$B$3)</f>
        <v>401284</v>
      </c>
      <c r="AB15" s="84">
        <f>SUMIFS(Input_Raw!AF:AF,Input_Raw!$A:$A,"&gt;="&amp;Analytices!$B$2,Input_Raw!$A:$A,"&lt;="&amp;Analytices!$B$3)</f>
        <v>402675</v>
      </c>
      <c r="AC15" s="84">
        <f>SUMIFS(Input_Raw!AG:AG,Input_Raw!$A:$A,"&gt;="&amp;Analytices!$B$2,Input_Raw!$A:$A,"&lt;="&amp;Analytices!$B$3)</f>
        <v>0</v>
      </c>
      <c r="AD15" s="84">
        <f>SUMIFS(Input_Raw!AH:AH,Input_Raw!$A:$A,"&gt;="&amp;Analytices!$B$2,Input_Raw!$A:$A,"&lt;="&amp;Analytices!$B$3)</f>
        <v>395187</v>
      </c>
      <c r="AE15" s="84">
        <f>SUMIFS(Input_Raw!AI:AI,Input_Raw!$A:$A,"&gt;="&amp;Analytices!$B$2,Input_Raw!$A:$A,"&lt;="&amp;Analytices!$B$3)</f>
        <v>147132</v>
      </c>
      <c r="AF15" s="84">
        <f>SUMIFS(Input_Raw!AJ:AJ,Input_Raw!$A:$A,"&gt;="&amp;Analytices!$B$2,Input_Raw!$A:$A,"&lt;="&amp;Analytices!$B$3)</f>
        <v>349156</v>
      </c>
      <c r="AG15" s="84">
        <f>SUMIFS(Input_Raw!AK:AK,Input_Raw!$A:$A,"&gt;="&amp;Analytices!$B$2,Input_Raw!$A:$A,"&lt;="&amp;Analytices!$B$3)</f>
        <v>358491</v>
      </c>
      <c r="AH15" s="84">
        <f>SUMIFS(Input_Raw!AL:AL,Input_Raw!$A:$A,"&gt;="&amp;Analytices!$B$2,Input_Raw!$A:$A,"&lt;="&amp;Analytices!$B$3)</f>
        <v>359302</v>
      </c>
      <c r="AI15" s="84">
        <f>SUMIFS(Input_Raw!AM:AM,Input_Raw!$A:$A,"&gt;="&amp;Analytices!$B$2,Input_Raw!$A:$A,"&lt;="&amp;Analytices!$B$3)</f>
        <v>357129</v>
      </c>
      <c r="AJ15" s="84">
        <f>SUMIFS(Input_Raw!AN:AN,Input_Raw!$A:$A,"&gt;="&amp;Analytices!$B$2,Input_Raw!$A:$A,"&lt;="&amp;Analytices!$B$3)</f>
        <v>359296</v>
      </c>
      <c r="AK15" s="84">
        <f>SUMIFS(Input_Raw!AO:AO,Input_Raw!$A:$A,"&gt;="&amp;Analytices!$B$2,Input_Raw!$A:$A,"&lt;="&amp;Analytices!$B$3)</f>
        <v>369037</v>
      </c>
      <c r="AL15" s="84">
        <f>SUMIFS(Input_Raw!AP:AP,Input_Raw!$A:$A,"&gt;="&amp;Analytices!$B$2,Input_Raw!$A:$A,"&lt;="&amp;Analytices!$B$3)</f>
        <v>357847</v>
      </c>
      <c r="AM15" s="84">
        <f>SUMIFS(Input_Raw!AQ:AQ,Input_Raw!$A:$A,"&gt;="&amp;Analytices!$B$2,Input_Raw!$A:$A,"&lt;="&amp;Analytices!$B$3)</f>
        <v>357096</v>
      </c>
      <c r="AN15" s="84">
        <f>SUMIFS(Input_Raw!AR:AR,Input_Raw!$A:$A,"&gt;="&amp;Analytices!$B$2,Input_Raw!$A:$A,"&lt;="&amp;Analytices!$B$3)</f>
        <v>357081</v>
      </c>
    </row>
    <row r="16" spans="1:40" ht="34.5" customHeight="1">
      <c r="A16" s="359" t="s">
        <v>165</v>
      </c>
      <c r="B16" s="361">
        <f>IFERROR(($C$3-(SUM(B8:B12,B14,B6)))/$C$3,1)</f>
        <v>0.91891842273307789</v>
      </c>
      <c r="C16" s="361">
        <f t="shared" ref="C16:AN16" si="4">IFERROR(($C$3-(SUM(C8:C12,C14,C6)))/$C$3,1)</f>
        <v>0.96894236909323117</v>
      </c>
      <c r="D16" s="361">
        <f t="shared" si="4"/>
        <v>0.98793143358876123</v>
      </c>
      <c r="E16" s="361">
        <f t="shared" si="4"/>
        <v>0.96894196998722859</v>
      </c>
      <c r="F16" s="361">
        <f t="shared" si="4"/>
        <v>0.9979885057471265</v>
      </c>
      <c r="G16" s="361">
        <f t="shared" si="4"/>
        <v>0.98510576309067688</v>
      </c>
      <c r="H16" s="361">
        <f t="shared" si="4"/>
        <v>0.98836246807151984</v>
      </c>
      <c r="I16" s="361">
        <f t="shared" si="4"/>
        <v>0.99044580140485317</v>
      </c>
      <c r="J16" s="361">
        <f t="shared" si="4"/>
        <v>0.9942289272030651</v>
      </c>
      <c r="K16" s="361">
        <f t="shared" si="4"/>
        <v>0.98912875159642399</v>
      </c>
      <c r="L16" s="361">
        <f t="shared" si="4"/>
        <v>0.98077147190293745</v>
      </c>
      <c r="M16" s="361">
        <f t="shared" si="4"/>
        <v>0.97076189335887608</v>
      </c>
      <c r="N16" s="361">
        <f t="shared" si="4"/>
        <v>0.99518678160919538</v>
      </c>
      <c r="O16" s="361">
        <f t="shared" si="4"/>
        <v>0.99353448275862066</v>
      </c>
      <c r="P16" s="361">
        <f t="shared" si="4"/>
        <v>0.99015804597701151</v>
      </c>
      <c r="Q16" s="361">
        <f t="shared" si="4"/>
        <v>0.94221783205619414</v>
      </c>
      <c r="R16" s="361">
        <f t="shared" si="4"/>
        <v>0.44971863026819925</v>
      </c>
      <c r="S16" s="361">
        <f t="shared" si="4"/>
        <v>0.99734195402298842</v>
      </c>
      <c r="T16" s="361">
        <f t="shared" si="4"/>
        <v>0.99734195402298842</v>
      </c>
      <c r="U16" s="361">
        <f t="shared" si="4"/>
        <v>0.99341475095785436</v>
      </c>
      <c r="V16" s="361">
        <f t="shared" si="4"/>
        <v>0.99758141762452113</v>
      </c>
      <c r="W16" s="361">
        <f t="shared" si="4"/>
        <v>0.9819444444444444</v>
      </c>
      <c r="X16" s="361">
        <f t="shared" si="4"/>
        <v>0.99513888888888891</v>
      </c>
      <c r="Y16" s="361">
        <f t="shared" si="4"/>
        <v>0.99042145593869735</v>
      </c>
      <c r="Z16" s="361">
        <f t="shared" si="4"/>
        <v>0.99018199233716475</v>
      </c>
      <c r="AA16" s="361">
        <f t="shared" si="4"/>
        <v>0.99169061302681993</v>
      </c>
      <c r="AB16" s="361">
        <f t="shared" si="4"/>
        <v>0.98879310344827598</v>
      </c>
      <c r="AC16" s="361">
        <f t="shared" si="4"/>
        <v>-1.1617975734352917E-3</v>
      </c>
      <c r="AD16" s="361">
        <f t="shared" si="4"/>
        <v>0.99415708812260528</v>
      </c>
      <c r="AE16" s="361">
        <f t="shared" si="4"/>
        <v>0.3303955140485314</v>
      </c>
      <c r="AF16" s="361">
        <f t="shared" si="4"/>
        <v>0.97713122605363989</v>
      </c>
      <c r="AG16" s="361">
        <f t="shared" si="4"/>
        <v>0.99032567049808429</v>
      </c>
      <c r="AH16" s="361">
        <f t="shared" si="4"/>
        <v>1</v>
      </c>
      <c r="AI16" s="361">
        <f t="shared" si="4"/>
        <v>0.99612068965517231</v>
      </c>
      <c r="AJ16" s="361">
        <f t="shared" si="4"/>
        <v>0.99164272030651335</v>
      </c>
      <c r="AK16" s="361">
        <f t="shared" si="4"/>
        <v>1</v>
      </c>
      <c r="AL16" s="361">
        <f t="shared" si="4"/>
        <v>1</v>
      </c>
      <c r="AM16" s="361">
        <f t="shared" si="4"/>
        <v>1</v>
      </c>
      <c r="AN16" s="361">
        <f t="shared" si="4"/>
        <v>0.99875478927203065</v>
      </c>
    </row>
    <row r="17" spans="1:40" ht="14.45" hidden="1" customHeight="1">
      <c r="A17" s="362" t="s">
        <v>166</v>
      </c>
      <c r="B17" s="363">
        <f>SUMIFS(WTG_BD!$T:$T,WTG_BD!$F:$F,"&gt;="&amp;Analytices!$B$2,WTG_BD!$F:$F,"&lt;="&amp;Analytices!$B$3,WTG_BD!$G:$G,B4,WTG_BD!$M:$M,'Basic Data'!$N$10)</f>
        <v>49.783055555555556</v>
      </c>
      <c r="C17" s="363">
        <f>SUMIFS(WTG_BD!$T:$T,WTG_BD!$F:$F,"&gt;="&amp;Analytices!$B$2,WTG_BD!$F:$F,"&lt;="&amp;Analytices!$B$3,WTG_BD!$G:$G,C4,WTG_BD!$M:$M,'Basic Data'!$N$10)</f>
        <v>14.966388888888888</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0.91666666666666741</v>
      </c>
      <c r="L17" s="363">
        <f>SUMIFS(WTG_BD!$T:$T,WTG_BD!$F:$F,"&gt;="&amp;Analytices!$B$2,WTG_BD!$F:$F,"&lt;="&amp;Analytices!$B$3,WTG_BD!$G:$G,L4,WTG_BD!$M:$M,'Basic Data'!$N$10)</f>
        <v>6.7333333333333325</v>
      </c>
      <c r="M17" s="363">
        <f>SUMIFS(WTG_BD!$T:$T,WTG_BD!$F:$F,"&gt;="&amp;Analytices!$B$2,WTG_BD!$F:$F,"&lt;="&amp;Analytices!$B$3,WTG_BD!$G:$G,M4,WTG_BD!$M:$M,'Basic Data'!$N$10)</f>
        <v>18.499722222222232</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2.0333333333333341</v>
      </c>
      <c r="Q17" s="363">
        <f>SUMIFS(WTG_BD!$T:$T,WTG_BD!$F:$F,"&gt;="&amp;Analytices!$B$2,WTG_BD!$F:$F,"&lt;="&amp;Analytices!$B$3,WTG_BD!$G:$G,Q4,WTG_BD!$M:$M,'Basic Data'!$N$10)</f>
        <v>35.766388888888883</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2.7333333333333343</v>
      </c>
      <c r="V17" s="363">
        <f>SUMIFS(WTG_BD!$T:$T,WTG_BD!$F:$F,"&gt;="&amp;Analytices!$B$2,WTG_BD!$F:$F,"&lt;="&amp;Analytices!$B$3,WTG_BD!$G:$G,V4,WTG_BD!$M:$M,'Basic Data'!$N$10)</f>
        <v>0.86666666666666625</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5.85</v>
      </c>
      <c r="Z17" s="363">
        <f>SUMIFS(WTG_BD!$T:$T,WTG_BD!$F:$F,"&gt;="&amp;Analytices!$B$2,WTG_BD!$F:$F,"&lt;="&amp;Analytices!$B$3,WTG_BD!$G:$G,Z4,WTG_BD!$M:$M,'Basic Data'!$N$10)</f>
        <v>6.8333333333333321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57.999166666666675</v>
      </c>
      <c r="AD17" s="363">
        <f>SUMIFS(WTG_BD!$T:$T,WTG_BD!$F:$F,"&gt;="&amp;Analytices!$B$2,WTG_BD!$F:$F,"&lt;="&amp;Analytices!$B$3,WTG_BD!$G:$G,AD4,WTG_BD!$M:$M,'Basic Data'!$N$10)</f>
        <v>3.2500000000000004</v>
      </c>
      <c r="AE17" s="363">
        <f>SUMIFS(WTG_BD!$T:$T,WTG_BD!$F:$F,"&gt;="&amp;Analytices!$B$2,WTG_BD!$F:$F,"&lt;="&amp;Analytices!$B$3,WTG_BD!$G:$G,AE4,WTG_BD!$M:$M,'Basic Data'!$N$10)</f>
        <v>218.4308333333334</v>
      </c>
      <c r="AF17" s="363">
        <f>SUMIFS(WTG_BD!$T:$T,WTG_BD!$F:$F,"&gt;="&amp;Analytices!$B$2,WTG_BD!$F:$F,"&lt;="&amp;Analytices!$B$3,WTG_BD!$G:$G,AF4,WTG_BD!$M:$M,'Basic Data'!$N$10)</f>
        <v>15.916666666666663</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167</v>
      </c>
      <c r="B18" s="363">
        <f>COUNTIFS(WTG_BD!$F:$F,"&gt;="&amp;Analytices!$B$2,WTG_BD!$F:$F,"&lt;="&amp;Analytices!$B$3,WTG_BD!$G:$G,B4,WTG_BD!$M:$M,'Basic Data'!$N$10)</f>
        <v>9</v>
      </c>
      <c r="C18" s="363">
        <f>COUNTIFS(WTG_BD!$F:$F,"&gt;="&amp;Analytices!$B$2,WTG_BD!$F:$F,"&lt;="&amp;Analytices!$B$3,WTG_BD!$G:$G,C4,WTG_BD!$M:$M,'Basic Data'!$N$10)</f>
        <v>3</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1</v>
      </c>
      <c r="L18" s="363">
        <f>COUNTIFS(WTG_BD!$F:$F,"&gt;="&amp;Analytices!$B$2,WTG_BD!$F:$F,"&lt;="&amp;Analytices!$B$3,WTG_BD!$G:$G,L4,WTG_BD!$M:$M,'Basic Data'!$N$10)</f>
        <v>5</v>
      </c>
      <c r="M18" s="363">
        <f>COUNTIFS(WTG_BD!$F:$F,"&gt;="&amp;Analytices!$B$2,WTG_BD!$F:$F,"&lt;="&amp;Analytices!$B$3,WTG_BD!$G:$G,M4,WTG_BD!$M:$M,'Basic Data'!$N$10)</f>
        <v>9</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1</v>
      </c>
      <c r="Q18" s="363">
        <f>COUNTIFS(WTG_BD!$F:$F,"&gt;="&amp;Analytices!$B$2,WTG_BD!$F:$F,"&lt;="&amp;Analytices!$B$3,WTG_BD!$G:$G,Q4,WTG_BD!$M:$M,'Basic Data'!$N$10)</f>
        <v>14</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2</v>
      </c>
      <c r="V18" s="363">
        <f>COUNTIFS(WTG_BD!$F:$F,"&gt;="&amp;Analytices!$B$2,WTG_BD!$F:$F,"&lt;="&amp;Analytices!$B$3,WTG_BD!$G:$G,V4,WTG_BD!$M:$M,'Basic Data'!$N$10)</f>
        <v>1</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1</v>
      </c>
      <c r="Z18" s="363">
        <f>COUNTIFS(WTG_BD!$F:$F,"&gt;="&amp;Analytices!$B$2,WTG_BD!$F:$F,"&lt;="&amp;Analytices!$B$3,WTG_BD!$G:$G,Z4,WTG_BD!$M:$M,'Basic Data'!$N$10)</f>
        <v>4</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3</v>
      </c>
      <c r="AD18" s="363">
        <f>COUNTIFS(WTG_BD!$F:$F,"&gt;="&amp;Analytices!$B$2,WTG_BD!$F:$F,"&lt;="&amp;Analytices!$B$3,WTG_BD!$G:$G,AD4,WTG_BD!$M:$M,'Basic Data'!$N$10)</f>
        <v>2</v>
      </c>
      <c r="AE18" s="363">
        <f>COUNTIFS(WTG_BD!$F:$F,"&gt;="&amp;Analytices!$B$2,WTG_BD!$F:$F,"&lt;="&amp;Analytices!$B$3,WTG_BD!$G:$G,AE4,WTG_BD!$M:$M,'Basic Data'!$N$10)</f>
        <v>11</v>
      </c>
      <c r="AF18" s="363">
        <f>COUNTIFS(WTG_BD!$F:$F,"&gt;="&amp;Analytices!$B$2,WTG_BD!$F:$F,"&lt;="&amp;Analytices!$B$3,WTG_BD!$G:$G,AF4,WTG_BD!$M:$M,'Basic Data'!$N$10)</f>
        <v>8</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168</v>
      </c>
      <c r="B19" s="363">
        <f>IFERROR(B17/B18,0)</f>
        <v>5.5314506172839506</v>
      </c>
      <c r="C19" s="363">
        <f t="shared" ref="C19:AN19" si="5">IFERROR(C17/C18,0)</f>
        <v>4.9887962962962957</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0.91666666666666741</v>
      </c>
      <c r="L19" s="363">
        <f t="shared" si="5"/>
        <v>1.3466666666666665</v>
      </c>
      <c r="M19" s="363">
        <f t="shared" si="5"/>
        <v>2.0555246913580256</v>
      </c>
      <c r="N19" s="363">
        <f t="shared" si="5"/>
        <v>1.5</v>
      </c>
      <c r="O19" s="363">
        <f t="shared" si="5"/>
        <v>2.6499999999999986</v>
      </c>
      <c r="P19" s="363">
        <f t="shared" si="5"/>
        <v>2.0333333333333341</v>
      </c>
      <c r="Q19" s="363">
        <f t="shared" si="5"/>
        <v>2.5547420634920632</v>
      </c>
      <c r="R19" s="363">
        <f t="shared" si="5"/>
        <v>22.4203431372549</v>
      </c>
      <c r="S19" s="363">
        <f t="shared" si="5"/>
        <v>0</v>
      </c>
      <c r="T19" s="363">
        <f t="shared" si="5"/>
        <v>0</v>
      </c>
      <c r="U19" s="363">
        <f t="shared" si="5"/>
        <v>1.3666666666666671</v>
      </c>
      <c r="V19" s="363">
        <f t="shared" si="5"/>
        <v>0.86666666666666625</v>
      </c>
      <c r="W19" s="363">
        <f t="shared" si="5"/>
        <v>4.1333333333333329</v>
      </c>
      <c r="X19" s="363">
        <f t="shared" si="5"/>
        <v>1.2833333333333328</v>
      </c>
      <c r="Y19" s="363">
        <f t="shared" si="5"/>
        <v>5.85</v>
      </c>
      <c r="Z19" s="363">
        <f t="shared" si="5"/>
        <v>1.708333333333333</v>
      </c>
      <c r="AA19" s="363">
        <f t="shared" si="5"/>
        <v>0</v>
      </c>
      <c r="AB19" s="363">
        <f t="shared" si="5"/>
        <v>3.4916666666666663</v>
      </c>
      <c r="AC19" s="363">
        <f t="shared" si="5"/>
        <v>19.333055555555557</v>
      </c>
      <c r="AD19" s="363">
        <f t="shared" si="5"/>
        <v>1.6250000000000002</v>
      </c>
      <c r="AE19" s="363">
        <f t="shared" si="5"/>
        <v>19.85734848484849</v>
      </c>
      <c r="AF19" s="363">
        <f t="shared" si="5"/>
        <v>1.9895833333333328</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169</v>
      </c>
      <c r="B20" s="363">
        <f>IFERROR(($C$3-B17)/B18,$C$3)</f>
        <v>71.801882716049391</v>
      </c>
      <c r="C20" s="363">
        <f t="shared" ref="C20:AN20" si="6">IFERROR(($C$3-C17)/C18,$C$3)</f>
        <v>227.0112037037037</v>
      </c>
      <c r="D20" s="363">
        <f t="shared" si="6"/>
        <v>696</v>
      </c>
      <c r="E20" s="363">
        <f t="shared" si="6"/>
        <v>113.50555555555555</v>
      </c>
      <c r="F20" s="363">
        <f t="shared" si="6"/>
        <v>695.41666666666663</v>
      </c>
      <c r="G20" s="363">
        <f t="shared" si="6"/>
        <v>346.14166666666665</v>
      </c>
      <c r="H20" s="363">
        <f t="shared" si="6"/>
        <v>694.55</v>
      </c>
      <c r="I20" s="363">
        <f t="shared" si="6"/>
        <v>696</v>
      </c>
      <c r="J20" s="363">
        <f t="shared" si="6"/>
        <v>231.2777777777778</v>
      </c>
      <c r="K20" s="363">
        <f t="shared" si="6"/>
        <v>695.08333333333337</v>
      </c>
      <c r="L20" s="363">
        <f t="shared" si="6"/>
        <v>137.85333333333332</v>
      </c>
      <c r="M20" s="363">
        <f t="shared" si="6"/>
        <v>75.277808641975312</v>
      </c>
      <c r="N20" s="363">
        <f t="shared" si="6"/>
        <v>694.5</v>
      </c>
      <c r="O20" s="363">
        <f t="shared" si="6"/>
        <v>693.35</v>
      </c>
      <c r="P20" s="363">
        <f t="shared" si="6"/>
        <v>693.9666666666667</v>
      </c>
      <c r="Q20" s="363">
        <f t="shared" si="6"/>
        <v>47.159543650793651</v>
      </c>
      <c r="R20" s="363">
        <f t="shared" si="6"/>
        <v>18.520833333333336</v>
      </c>
      <c r="S20" s="363">
        <f t="shared" si="6"/>
        <v>696</v>
      </c>
      <c r="T20" s="363">
        <f t="shared" si="6"/>
        <v>696</v>
      </c>
      <c r="U20" s="363">
        <f t="shared" si="6"/>
        <v>346.63333333333333</v>
      </c>
      <c r="V20" s="363">
        <f t="shared" si="6"/>
        <v>695.13333333333333</v>
      </c>
      <c r="W20" s="363">
        <f t="shared" si="6"/>
        <v>343.86666666666667</v>
      </c>
      <c r="X20" s="363">
        <f t="shared" si="6"/>
        <v>346.71666666666664</v>
      </c>
      <c r="Y20" s="363">
        <f t="shared" si="6"/>
        <v>690.15</v>
      </c>
      <c r="Z20" s="363">
        <f t="shared" si="6"/>
        <v>172.29166666666666</v>
      </c>
      <c r="AA20" s="363">
        <f t="shared" si="6"/>
        <v>696</v>
      </c>
      <c r="AB20" s="363">
        <f t="shared" si="6"/>
        <v>344.50833333333333</v>
      </c>
      <c r="AC20" s="363">
        <f t="shared" si="6"/>
        <v>212.66694444444443</v>
      </c>
      <c r="AD20" s="363">
        <f t="shared" si="6"/>
        <v>346.375</v>
      </c>
      <c r="AE20" s="363">
        <f t="shared" si="6"/>
        <v>43.41537878787878</v>
      </c>
      <c r="AF20" s="363">
        <f t="shared" si="6"/>
        <v>85.010416666666671</v>
      </c>
      <c r="AG20" s="363">
        <f t="shared" si="6"/>
        <v>695.38333333333333</v>
      </c>
      <c r="AH20" s="363">
        <f t="shared" si="6"/>
        <v>696</v>
      </c>
      <c r="AI20" s="363">
        <f t="shared" si="6"/>
        <v>346.65</v>
      </c>
      <c r="AJ20" s="363">
        <f t="shared" si="6"/>
        <v>346.77499999999998</v>
      </c>
      <c r="AK20" s="363">
        <f t="shared" si="6"/>
        <v>696</v>
      </c>
      <c r="AL20" s="363">
        <f t="shared" si="6"/>
        <v>696</v>
      </c>
      <c r="AM20" s="363">
        <f t="shared" si="6"/>
        <v>696</v>
      </c>
      <c r="AN20" s="363">
        <f t="shared" si="6"/>
        <v>695.13333333333333</v>
      </c>
    </row>
    <row r="21" spans="1:40" ht="29.1" customHeight="1">
      <c r="A21" s="359" t="s">
        <v>170</v>
      </c>
      <c r="B21" s="363">
        <f>ROUND(AVERAGEIFS(Input_Raw!AS:AS,Input_Raw!$A:$A,"&gt;="&amp;Analytices!$B$2,Input_Raw!$A:$A,"&lt;="&amp;Analytices!$B$3),1)</f>
        <v>5.7</v>
      </c>
      <c r="C21" s="363">
        <f>ROUND(AVERAGEIFS(Input_Raw!AT:AT,Input_Raw!$A:$A,"&gt;="&amp;Analytices!$B$2,Input_Raw!$A:$A,"&lt;="&amp;Analytices!$B$3),1)</f>
        <v>5.6</v>
      </c>
      <c r="D21" s="363">
        <f>ROUND(AVERAGEIFS(Input_Raw!AU:AU,Input_Raw!$A:$A,"&gt;="&amp;Analytices!$B$2,Input_Raw!$A:$A,"&lt;="&amp;Analytices!$B$3),1)</f>
        <v>5.5</v>
      </c>
      <c r="E21" s="363">
        <f>ROUND(AVERAGEIFS(Input_Raw!AV:AV,Input_Raw!$A:$A,"&gt;="&amp;Analytices!$B$2,Input_Raw!$A:$A,"&lt;="&amp;Analytices!$B$3),1)</f>
        <v>5.5</v>
      </c>
      <c r="F21" s="363">
        <f>ROUND(AVERAGEIFS(Input_Raw!AW:AW,Input_Raw!$A:$A,"&gt;="&amp;Analytices!$B$2,Input_Raw!$A:$A,"&lt;="&amp;Analytices!$B$3),1)</f>
        <v>5.7</v>
      </c>
      <c r="G21" s="363">
        <f>ROUND(AVERAGEIFS(Input_Raw!AX:AX,Input_Raw!$A:$A,"&gt;="&amp;Analytices!$B$2,Input_Raw!$A:$A,"&lt;="&amp;Analytices!$B$3),1)</f>
        <v>5.5</v>
      </c>
      <c r="H21" s="363">
        <f>ROUND(AVERAGEIFS(Input_Raw!AY:AY,Input_Raw!$A:$A,"&gt;="&amp;Analytices!$B$2,Input_Raw!$A:$A,"&lt;="&amp;Analytices!$B$3),1)</f>
        <v>5.4</v>
      </c>
      <c r="I21" s="363">
        <f>ROUND(AVERAGEIFS(Input_Raw!AZ:AZ,Input_Raw!$A:$A,"&gt;="&amp;Analytices!$B$2,Input_Raw!$A:$A,"&lt;="&amp;Analytices!$B$3),1)</f>
        <v>5.8</v>
      </c>
      <c r="J21" s="363">
        <f>ROUND(AVERAGEIFS(Input_Raw!BA:BA,Input_Raw!$A:$A,"&gt;="&amp;Analytices!$B$2,Input_Raw!$A:$A,"&lt;="&amp;Analytices!$B$3),1)</f>
        <v>5.4</v>
      </c>
      <c r="K21" s="363">
        <f>ROUND(AVERAGEIFS(Input_Raw!BB:BB,Input_Raw!$A:$A,"&gt;="&amp;Analytices!$B$2,Input_Raw!$A:$A,"&lt;="&amp;Analytices!$B$3),1)</f>
        <v>5.6</v>
      </c>
      <c r="L21" s="363">
        <f>ROUND(AVERAGEIFS(Input_Raw!BC:BC,Input_Raw!$A:$A,"&gt;="&amp;Analytices!$B$2,Input_Raw!$A:$A,"&lt;="&amp;Analytices!$B$3),1)</f>
        <v>5.7</v>
      </c>
      <c r="M21" s="363">
        <f>ROUND(AVERAGEIFS(Input_Raw!BD:BD,Input_Raw!$A:$A,"&gt;="&amp;Analytices!$B$2,Input_Raw!$A:$A,"&lt;="&amp;Analytices!$B$3),1)</f>
        <v>5.5</v>
      </c>
      <c r="N21" s="363">
        <f>ROUND(AVERAGEIFS(Input_Raw!BE:BE,Input_Raw!$A:$A,"&gt;="&amp;Analytices!$B$2,Input_Raw!$A:$A,"&lt;="&amp;Analytices!$B$3),1)</f>
        <v>5.7</v>
      </c>
      <c r="O21" s="363">
        <f>ROUND(AVERAGEIFS(Input_Raw!BF:BF,Input_Raw!$A:$A,"&gt;="&amp;Analytices!$B$2,Input_Raw!$A:$A,"&lt;="&amp;Analytices!$B$3),1)</f>
        <v>5.8</v>
      </c>
      <c r="P21" s="363">
        <f>ROUND(AVERAGEIFS(Input_Raw!BG:BG,Input_Raw!$A:$A,"&gt;="&amp;Analytices!$B$2,Input_Raw!$A:$A,"&lt;="&amp;Analytices!$B$3),1)</f>
        <v>5.8</v>
      </c>
      <c r="Q21" s="363">
        <f>ROUND(AVERAGEIFS(Input_Raw!BH:BH,Input_Raw!$A:$A,"&gt;="&amp;Analytices!$B$2,Input_Raw!$A:$A,"&lt;="&amp;Analytices!$B$3),1)</f>
        <v>5.6</v>
      </c>
      <c r="R21" s="363">
        <f>ROUND(AVERAGEIFS(Input_Raw!BI:BI,Input_Raw!$A:$A,"&gt;="&amp;Analytices!$B$2,Input_Raw!$A:$A,"&lt;="&amp;Analytices!$B$3),1)</f>
        <v>1.6</v>
      </c>
      <c r="S21" s="363">
        <f>ROUND(AVERAGEIFS(Input_Raw!BJ:BJ,Input_Raw!$A:$A,"&gt;="&amp;Analytices!$B$2,Input_Raw!$A:$A,"&lt;="&amp;Analytices!$B$3),1)</f>
        <v>6</v>
      </c>
      <c r="T21" s="363">
        <f>ROUND(AVERAGEIFS(Input_Raw!BK:BK,Input_Raw!$A:$A,"&gt;="&amp;Analytices!$B$2,Input_Raw!$A:$A,"&lt;="&amp;Analytices!$B$3),1)</f>
        <v>6</v>
      </c>
      <c r="U21" s="363">
        <f>ROUND(AVERAGEIFS(Input_Raw!BL:BL,Input_Raw!$A:$A,"&gt;="&amp;Analytices!$B$2,Input_Raw!$A:$A,"&lt;="&amp;Analytices!$B$3),1)</f>
        <v>6</v>
      </c>
      <c r="V21" s="363">
        <f>ROUND(AVERAGEIFS(Input_Raw!BM:BM,Input_Raw!$A:$A,"&gt;="&amp;Analytices!$B$2,Input_Raw!$A:$A,"&lt;="&amp;Analytices!$B$3),1)</f>
        <v>5.5</v>
      </c>
      <c r="W21" s="363">
        <f>ROUND(AVERAGEIFS(Input_Raw!BN:BN,Input_Raw!$A:$A,"&gt;="&amp;Analytices!$B$2,Input_Raw!$A:$A,"&lt;="&amp;Analytices!$B$3),1)</f>
        <v>5.8</v>
      </c>
      <c r="X21" s="363">
        <f>ROUND(AVERAGEIFS(Input_Raw!BO:BO,Input_Raw!$A:$A,"&gt;="&amp;Analytices!$B$2,Input_Raw!$A:$A,"&lt;="&amp;Analytices!$B$3),1)</f>
        <v>4.5999999999999996</v>
      </c>
      <c r="Y21" s="363">
        <f>ROUND(AVERAGEIFS(Input_Raw!BP:BP,Input_Raw!$A:$A,"&gt;="&amp;Analytices!$B$2,Input_Raw!$A:$A,"&lt;="&amp;Analytices!$B$3),1)</f>
        <v>5.6</v>
      </c>
      <c r="Z21" s="363">
        <f>ROUND(AVERAGEIFS(Input_Raw!BQ:BQ,Input_Raw!$A:$A,"&gt;="&amp;Analytices!$B$2,Input_Raw!$A:$A,"&lt;="&amp;Analytices!$B$3),1)</f>
        <v>5.5</v>
      </c>
      <c r="AA21" s="363">
        <f>ROUND(AVERAGEIFS(Input_Raw!BR:BR,Input_Raw!$A:$A,"&gt;="&amp;Analytices!$B$2,Input_Raw!$A:$A,"&lt;="&amp;Analytices!$B$3),1)</f>
        <v>5.6</v>
      </c>
      <c r="AB21" s="363">
        <f>ROUND(AVERAGEIFS(Input_Raw!BS:BS,Input_Raw!$A:$A,"&gt;="&amp;Analytices!$B$2,Input_Raw!$A:$A,"&lt;="&amp;Analytices!$B$3),1)</f>
        <v>5.3</v>
      </c>
      <c r="AC21" s="363">
        <f>ROUND(AVERAGEIFS(Input_Raw!BT:BT,Input_Raw!$A:$A,"&gt;="&amp;Analytices!$B$2,Input_Raw!$A:$A,"&lt;="&amp;Analytices!$B$3),1)</f>
        <v>0</v>
      </c>
      <c r="AD21" s="363">
        <f>ROUND(AVERAGEIFS(Input_Raw!BU:BU,Input_Raw!$A:$A,"&gt;="&amp;Analytices!$B$2,Input_Raw!$A:$A,"&lt;="&amp;Analytices!$B$3),1)</f>
        <v>5.4</v>
      </c>
      <c r="AE21" s="363">
        <f>ROUND(AVERAGEIFS(Input_Raw!BV:BV,Input_Raw!$A:$A,"&gt;="&amp;Analytices!$B$2,Input_Raw!$A:$A,"&lt;="&amp;Analytices!$B$3),1)</f>
        <v>0.2</v>
      </c>
      <c r="AF21" s="363">
        <f>ROUND(AVERAGEIFS(Input_Raw!BW:BW,Input_Raw!$A:$A,"&gt;="&amp;Analytices!$B$2,Input_Raw!$A:$A,"&lt;="&amp;Analytices!$B$3),1)</f>
        <v>5.4</v>
      </c>
      <c r="AG21" s="363">
        <f>ROUND(AVERAGEIFS(Input_Raw!BX:BX,Input_Raw!$A:$A,"&gt;="&amp;Analytices!$B$2,Input_Raw!$A:$A,"&lt;="&amp;Analytices!$B$3),1)</f>
        <v>5.3</v>
      </c>
      <c r="AH21" s="363">
        <f>ROUND(AVERAGEIFS(Input_Raw!BY:BY,Input_Raw!$A:$A,"&gt;="&amp;Analytices!$B$2,Input_Raw!$A:$A,"&lt;="&amp;Analytices!$B$3),1)</f>
        <v>5.6</v>
      </c>
      <c r="AI21" s="363">
        <f>ROUND(AVERAGEIFS(Input_Raw!BZ:BZ,Input_Raw!$A:$A,"&gt;="&amp;Analytices!$B$2,Input_Raw!$A:$A,"&lt;="&amp;Analytices!$B$3),1)</f>
        <v>5.6</v>
      </c>
      <c r="AJ21" s="363">
        <f>ROUND(AVERAGEIFS(Input_Raw!CA:CA,Input_Raw!$A:$A,"&gt;="&amp;Analytices!$B$2,Input_Raw!$A:$A,"&lt;="&amp;Analytices!$B$3),1)</f>
        <v>5.7</v>
      </c>
      <c r="AK21" s="363">
        <f>ROUND(AVERAGEIFS(Input_Raw!CB:CB,Input_Raw!$A:$A,"&gt;="&amp;Analytices!$B$2,Input_Raw!$A:$A,"&lt;="&amp;Analytices!$B$3),1)</f>
        <v>5.7</v>
      </c>
      <c r="AL21" s="363">
        <f>ROUND(AVERAGEIFS(Input_Raw!CC:CC,Input_Raw!$A:$A,"&gt;="&amp;Analytices!$B$2,Input_Raw!$A:$A,"&lt;="&amp;Analytices!$B$3),1)</f>
        <v>5.4</v>
      </c>
      <c r="AM21" s="363">
        <f>ROUND(AVERAGEIFS(Input_Raw!CD:CD,Input_Raw!$A:$A,"&gt;="&amp;Analytices!$B$2,Input_Raw!$A:$A,"&lt;="&amp;Analytices!$B$3),1)</f>
        <v>5.3</v>
      </c>
      <c r="AN21" s="363">
        <f>ROUND(AVERAGEIFS(Input_Raw!CE:CE,Input_Raw!$A:$A,"&gt;="&amp;Analytices!$B$2,Input_Raw!$A:$A,"&lt;="&amp;Analytices!$B$3),1)</f>
        <v>5.5</v>
      </c>
    </row>
    <row r="22" spans="1:40" ht="29.1" customHeight="1">
      <c r="A22" s="367"/>
    </row>
    <row r="23" spans="1:40" ht="29.1" customHeight="1">
      <c r="A23" s="398" t="s">
        <v>171</v>
      </c>
      <c r="B23" s="398"/>
      <c r="C23" s="398"/>
      <c r="D23" s="398"/>
      <c r="E23" s="398"/>
      <c r="F23" s="398"/>
      <c r="G23" s="398"/>
    </row>
    <row r="24" spans="1:40" ht="29.1" customHeight="1">
      <c r="A24" s="368">
        <v>45017</v>
      </c>
    </row>
    <row r="25" spans="1:40" ht="29.1" customHeight="1">
      <c r="D25" s="396" t="s">
        <v>172</v>
      </c>
      <c r="E25" s="396"/>
      <c r="F25" s="396" t="s">
        <v>173</v>
      </c>
      <c r="G25" s="396"/>
    </row>
    <row r="26" spans="1:40" ht="29.1" customHeight="1">
      <c r="D26" s="396">
        <f ca="1">F26</f>
        <v>20400</v>
      </c>
      <c r="E26" s="396"/>
      <c r="F26" s="397">
        <f ca="1">((TODAY()-1)-(A24))*24</f>
        <v>20400</v>
      </c>
      <c r="G26" s="397"/>
    </row>
    <row r="27" spans="1:40" ht="29.1" customHeight="1">
      <c r="A27" s="369" t="s">
        <v>174</v>
      </c>
      <c r="B27" s="84" t="s">
        <v>175</v>
      </c>
    </row>
    <row r="29" spans="1:40" ht="29.1" customHeight="1">
      <c r="A29" s="369" t="s">
        <v>176</v>
      </c>
      <c r="B29" s="84" t="s">
        <v>177</v>
      </c>
      <c r="C29" s="84" t="s">
        <v>178</v>
      </c>
      <c r="D29" s="84" t="s">
        <v>179</v>
      </c>
      <c r="E29" s="84" t="s">
        <v>180</v>
      </c>
    </row>
    <row r="30" spans="1:40" ht="29.1" customHeight="1">
      <c r="A30" s="98" t="s">
        <v>181</v>
      </c>
      <c r="B30" s="370">
        <v>0.21666666666666856</v>
      </c>
      <c r="C30" s="370">
        <v>1</v>
      </c>
      <c r="D30" s="363">
        <f>B30/C30</f>
        <v>0.21666666666666856</v>
      </c>
      <c r="E30" s="363">
        <f ca="1">$D$26/C30</f>
        <v>20400</v>
      </c>
    </row>
    <row r="31" spans="1:40" ht="29.1" customHeight="1">
      <c r="A31" s="98" t="s">
        <v>182</v>
      </c>
      <c r="B31" s="370">
        <v>9.3333333333333357</v>
      </c>
      <c r="C31" s="370">
        <v>2</v>
      </c>
      <c r="D31" s="363">
        <f t="shared" ref="D31:D94" si="7">B31/C31</f>
        <v>4.6666666666666679</v>
      </c>
      <c r="E31" s="363">
        <f t="shared" ref="E31:E94" ca="1" si="8">$D$26/C31</f>
        <v>10200</v>
      </c>
    </row>
    <row r="32" spans="1:40" ht="29.1" customHeight="1">
      <c r="A32" s="98" t="s">
        <v>183</v>
      </c>
      <c r="B32" s="370">
        <v>6.0666666666666691</v>
      </c>
      <c r="C32" s="370">
        <v>2</v>
      </c>
      <c r="D32" s="363">
        <f t="shared" si="7"/>
        <v>3.0333333333333345</v>
      </c>
      <c r="E32" s="363">
        <f t="shared" ca="1" si="8"/>
        <v>10200</v>
      </c>
    </row>
    <row r="33" spans="1:5" ht="29.1" customHeight="1">
      <c r="A33" s="98" t="s">
        <v>184</v>
      </c>
      <c r="B33" s="370">
        <v>33.93333333333333</v>
      </c>
      <c r="C33" s="370">
        <v>20</v>
      </c>
      <c r="D33" s="363">
        <f t="shared" si="7"/>
        <v>1.6966666666666665</v>
      </c>
      <c r="E33" s="363">
        <f t="shared" ca="1" si="8"/>
        <v>1020</v>
      </c>
    </row>
    <row r="34" spans="1:5" ht="29.1" customHeight="1">
      <c r="A34" s="98" t="s">
        <v>185</v>
      </c>
      <c r="B34" s="370">
        <v>14.616666666666678</v>
      </c>
      <c r="C34" s="370">
        <v>7</v>
      </c>
      <c r="D34" s="363">
        <f t="shared" si="7"/>
        <v>2.0880952380952396</v>
      </c>
      <c r="E34" s="363">
        <f t="shared" ca="1" si="8"/>
        <v>2914.2857142857142</v>
      </c>
    </row>
    <row r="35" spans="1:5" ht="29.1" customHeight="1">
      <c r="A35" s="98" t="s">
        <v>186</v>
      </c>
      <c r="B35" s="370">
        <v>22.416666666666664</v>
      </c>
      <c r="C35" s="370">
        <v>6</v>
      </c>
      <c r="D35" s="363">
        <f t="shared" si="7"/>
        <v>3.7361111111111107</v>
      </c>
      <c r="E35" s="363">
        <f t="shared" ca="1" si="8"/>
        <v>3400</v>
      </c>
    </row>
    <row r="36" spans="1:5" ht="29.1" customHeight="1">
      <c r="A36" s="98" t="s">
        <v>187</v>
      </c>
      <c r="B36" s="370">
        <v>325.73333333333335</v>
      </c>
      <c r="C36" s="370">
        <v>93</v>
      </c>
      <c r="D36" s="363">
        <f t="shared" si="7"/>
        <v>3.5025089605734769</v>
      </c>
      <c r="E36" s="363">
        <f t="shared" ca="1" si="8"/>
        <v>219.35483870967741</v>
      </c>
    </row>
    <row r="37" spans="1:5" ht="29.1" customHeight="1">
      <c r="A37" s="98" t="s">
        <v>188</v>
      </c>
      <c r="B37" s="370">
        <v>31.283333333333331</v>
      </c>
      <c r="C37" s="370">
        <v>12</v>
      </c>
      <c r="D37" s="363">
        <f t="shared" si="7"/>
        <v>2.6069444444444443</v>
      </c>
      <c r="E37" s="363">
        <f t="shared" ca="1" si="8"/>
        <v>1700</v>
      </c>
    </row>
    <row r="38" spans="1:5" ht="29.1" customHeight="1">
      <c r="A38" s="98" t="s">
        <v>189</v>
      </c>
      <c r="B38" s="370">
        <v>30.949999999999996</v>
      </c>
      <c r="C38" s="370">
        <v>19</v>
      </c>
      <c r="D38" s="363">
        <f t="shared" si="7"/>
        <v>1.6289473684210525</v>
      </c>
      <c r="E38" s="363">
        <f t="shared" ca="1" si="8"/>
        <v>1073.6842105263158</v>
      </c>
    </row>
    <row r="39" spans="1:5" ht="29.1" customHeight="1">
      <c r="A39" s="98" t="s">
        <v>190</v>
      </c>
      <c r="B39" s="370">
        <v>72.816666666666649</v>
      </c>
      <c r="C39" s="370">
        <v>10</v>
      </c>
      <c r="D39" s="363">
        <f t="shared" si="7"/>
        <v>7.2816666666666645</v>
      </c>
      <c r="E39" s="363">
        <f t="shared" ca="1" si="8"/>
        <v>2040</v>
      </c>
    </row>
    <row r="40" spans="1:5" ht="29.1" customHeight="1">
      <c r="A40" s="98" t="s">
        <v>191</v>
      </c>
      <c r="B40" s="370">
        <v>5.1666666666666679</v>
      </c>
      <c r="C40" s="370">
        <v>1</v>
      </c>
      <c r="D40" s="363">
        <f t="shared" si="7"/>
        <v>5.1666666666666679</v>
      </c>
      <c r="E40" s="363">
        <f t="shared" ca="1" si="8"/>
        <v>20400</v>
      </c>
    </row>
    <row r="41" spans="1:5" ht="29.1" customHeight="1">
      <c r="A41" s="98" t="s">
        <v>192</v>
      </c>
      <c r="B41" s="370">
        <v>13.316666666666663</v>
      </c>
      <c r="C41" s="370">
        <v>5</v>
      </c>
      <c r="D41" s="363">
        <f t="shared" si="7"/>
        <v>2.6633333333333327</v>
      </c>
      <c r="E41" s="363">
        <f t="shared" ca="1" si="8"/>
        <v>4080</v>
      </c>
    </row>
    <row r="42" spans="1:5" ht="29.1" customHeight="1">
      <c r="A42" s="98" t="s">
        <v>193</v>
      </c>
      <c r="B42" s="370">
        <v>0.41666666666666785</v>
      </c>
      <c r="C42" s="370">
        <v>1</v>
      </c>
      <c r="D42" s="363">
        <f t="shared" si="7"/>
        <v>0.41666666666666785</v>
      </c>
      <c r="E42" s="363">
        <f t="shared" ca="1" si="8"/>
        <v>20400</v>
      </c>
    </row>
    <row r="43" spans="1:5" ht="29.1" customHeight="1">
      <c r="A43" s="98" t="s">
        <v>194</v>
      </c>
      <c r="B43" s="370">
        <v>0.33333333333333215</v>
      </c>
      <c r="C43" s="370">
        <v>2</v>
      </c>
      <c r="D43" s="363">
        <f t="shared" si="7"/>
        <v>0.16666666666666607</v>
      </c>
      <c r="E43" s="363">
        <f t="shared" ca="1" si="8"/>
        <v>10200</v>
      </c>
    </row>
    <row r="44" spans="1:5" ht="29.1" customHeight="1">
      <c r="A44" s="98" t="s">
        <v>195</v>
      </c>
      <c r="B44" s="370">
        <v>40.266666666666673</v>
      </c>
      <c r="C44" s="370">
        <v>13</v>
      </c>
      <c r="D44" s="363">
        <f t="shared" si="7"/>
        <v>3.097435897435898</v>
      </c>
      <c r="E44" s="363">
        <f t="shared" ca="1" si="8"/>
        <v>1569.2307692307693</v>
      </c>
    </row>
    <row r="45" spans="1:5" ht="29.1" customHeight="1">
      <c r="A45" s="98" t="s">
        <v>196</v>
      </c>
      <c r="B45" s="370">
        <v>9.9666666666666615</v>
      </c>
      <c r="C45" s="370">
        <v>7</v>
      </c>
      <c r="D45" s="363">
        <f t="shared" si="7"/>
        <v>1.423809523809523</v>
      </c>
      <c r="E45" s="363">
        <f t="shared" ca="1" si="8"/>
        <v>2914.2857142857142</v>
      </c>
    </row>
    <row r="46" spans="1:5" ht="29.1" customHeight="1">
      <c r="A46" s="98" t="s">
        <v>197</v>
      </c>
      <c r="B46" s="370">
        <v>45.133333333333333</v>
      </c>
      <c r="C46" s="370">
        <v>18</v>
      </c>
      <c r="D46" s="363">
        <f t="shared" si="7"/>
        <v>2.5074074074074075</v>
      </c>
      <c r="E46" s="363">
        <f t="shared" ca="1" si="8"/>
        <v>1133.3333333333333</v>
      </c>
    </row>
    <row r="47" spans="1:5" ht="29.1" customHeight="1">
      <c r="A47" s="98" t="s">
        <v>198</v>
      </c>
      <c r="B47" s="370">
        <v>1.8999999999999981</v>
      </c>
      <c r="C47" s="370">
        <v>2</v>
      </c>
      <c r="D47" s="363">
        <f t="shared" si="7"/>
        <v>0.94999999999999907</v>
      </c>
      <c r="E47" s="363">
        <f t="shared" ca="1" si="8"/>
        <v>10200</v>
      </c>
    </row>
    <row r="48" spans="1:5" ht="29.1" customHeight="1">
      <c r="A48" s="98" t="s">
        <v>199</v>
      </c>
      <c r="B48" s="370">
        <v>9.9833333333333307</v>
      </c>
      <c r="C48" s="370">
        <v>4</v>
      </c>
      <c r="D48" s="363">
        <f t="shared" si="7"/>
        <v>2.4958333333333327</v>
      </c>
      <c r="E48" s="363">
        <f t="shared" ca="1" si="8"/>
        <v>5100</v>
      </c>
    </row>
    <row r="49" spans="1:5" ht="29.1" customHeight="1">
      <c r="A49" s="98" t="s">
        <v>200</v>
      </c>
      <c r="B49" s="370">
        <v>13.5</v>
      </c>
      <c r="C49" s="370">
        <v>2</v>
      </c>
      <c r="D49" s="363">
        <f t="shared" si="7"/>
        <v>6.75</v>
      </c>
      <c r="E49" s="363">
        <f t="shared" ca="1" si="8"/>
        <v>10200</v>
      </c>
    </row>
    <row r="50" spans="1:5" ht="29.1" customHeight="1">
      <c r="A50" s="98" t="s">
        <v>201</v>
      </c>
      <c r="B50" s="370">
        <v>3.2500000000000018</v>
      </c>
      <c r="C50" s="370">
        <v>2</v>
      </c>
      <c r="D50" s="363">
        <f t="shared" si="7"/>
        <v>1.6250000000000009</v>
      </c>
      <c r="E50" s="363">
        <f t="shared" ca="1" si="8"/>
        <v>10200</v>
      </c>
    </row>
    <row r="51" spans="1:5" ht="29.1" customHeight="1">
      <c r="A51" s="98" t="s">
        <v>202</v>
      </c>
      <c r="B51" s="370">
        <v>14.86666666666666</v>
      </c>
      <c r="C51" s="370">
        <v>4</v>
      </c>
      <c r="D51" s="363">
        <f t="shared" si="7"/>
        <v>3.716666666666665</v>
      </c>
      <c r="E51" s="363">
        <f t="shared" ca="1" si="8"/>
        <v>5100</v>
      </c>
    </row>
    <row r="52" spans="1:5" ht="29.1" customHeight="1">
      <c r="A52" s="98" t="s">
        <v>203</v>
      </c>
      <c r="B52" s="370">
        <v>1.5166666666666666</v>
      </c>
      <c r="C52" s="370">
        <v>1</v>
      </c>
      <c r="D52" s="363">
        <f t="shared" si="7"/>
        <v>1.5166666666666666</v>
      </c>
      <c r="E52" s="363">
        <f t="shared" ca="1" si="8"/>
        <v>20400</v>
      </c>
    </row>
    <row r="53" spans="1:5" ht="29.1" customHeight="1">
      <c r="A53" s="98" t="s">
        <v>204</v>
      </c>
      <c r="B53" s="370">
        <v>0.36666666666666803</v>
      </c>
      <c r="C53" s="370">
        <v>1</v>
      </c>
      <c r="D53" s="363">
        <f t="shared" si="7"/>
        <v>0.36666666666666803</v>
      </c>
      <c r="E53" s="363">
        <f t="shared" ca="1" si="8"/>
        <v>20400</v>
      </c>
    </row>
    <row r="54" spans="1:5" ht="29.1" customHeight="1">
      <c r="A54" s="98" t="s">
        <v>205</v>
      </c>
      <c r="B54" s="370">
        <v>7.0833333333333339</v>
      </c>
      <c r="C54" s="370">
        <v>3</v>
      </c>
      <c r="D54" s="363">
        <f t="shared" si="7"/>
        <v>2.3611111111111112</v>
      </c>
      <c r="E54" s="363">
        <f t="shared" ca="1" si="8"/>
        <v>6800</v>
      </c>
    </row>
    <row r="55" spans="1:5" ht="29.1" customHeight="1">
      <c r="A55" s="98" t="s">
        <v>206</v>
      </c>
      <c r="B55" s="370">
        <v>13.066666666666663</v>
      </c>
      <c r="C55" s="370">
        <v>19</v>
      </c>
      <c r="D55" s="363">
        <f t="shared" si="7"/>
        <v>0.68771929824561384</v>
      </c>
      <c r="E55" s="363">
        <f t="shared" ca="1" si="8"/>
        <v>1073.6842105263158</v>
      </c>
    </row>
    <row r="56" spans="1:5" ht="29.1" customHeight="1">
      <c r="A56" s="98" t="s">
        <v>207</v>
      </c>
      <c r="B56" s="370">
        <v>2.35</v>
      </c>
      <c r="C56" s="370">
        <v>2</v>
      </c>
      <c r="D56" s="363">
        <f t="shared" si="7"/>
        <v>1.175</v>
      </c>
      <c r="E56" s="363">
        <f t="shared" ca="1" si="8"/>
        <v>10200</v>
      </c>
    </row>
    <row r="57" spans="1:5" ht="29.1" customHeight="1">
      <c r="A57" s="98" t="s">
        <v>208</v>
      </c>
      <c r="B57" s="370">
        <v>50.683333333333337</v>
      </c>
      <c r="C57" s="370">
        <v>11</v>
      </c>
      <c r="D57" s="363">
        <f t="shared" si="7"/>
        <v>4.6075757575757583</v>
      </c>
      <c r="E57" s="363">
        <f t="shared" ca="1" si="8"/>
        <v>1854.5454545454545</v>
      </c>
    </row>
    <row r="58" spans="1:5" ht="29.1" customHeight="1">
      <c r="A58" s="98" t="s">
        <v>209</v>
      </c>
      <c r="B58" s="370">
        <v>6.6666666666666679</v>
      </c>
      <c r="C58" s="370">
        <v>2</v>
      </c>
      <c r="D58" s="363">
        <f t="shared" si="7"/>
        <v>3.3333333333333339</v>
      </c>
      <c r="E58" s="363">
        <f t="shared" ca="1" si="8"/>
        <v>10200</v>
      </c>
    </row>
    <row r="59" spans="1:5" ht="29.1" customHeight="1">
      <c r="A59" s="98" t="s">
        <v>210</v>
      </c>
      <c r="B59" s="370">
        <v>7.9999999999999947</v>
      </c>
      <c r="C59" s="370">
        <v>7</v>
      </c>
      <c r="D59" s="363">
        <f t="shared" si="7"/>
        <v>1.1428571428571421</v>
      </c>
      <c r="E59" s="363">
        <f t="shared" ca="1" si="8"/>
        <v>2914.2857142857142</v>
      </c>
    </row>
    <row r="60" spans="1:5" ht="29.1" customHeight="1">
      <c r="A60" s="98" t="s">
        <v>211</v>
      </c>
      <c r="B60" s="370">
        <v>7.0833333333333313</v>
      </c>
      <c r="C60" s="370">
        <v>8</v>
      </c>
      <c r="D60" s="363">
        <f t="shared" si="7"/>
        <v>0.88541666666666641</v>
      </c>
      <c r="E60" s="363">
        <f t="shared" ca="1" si="8"/>
        <v>2550</v>
      </c>
    </row>
    <row r="61" spans="1:5" ht="29.1" customHeight="1">
      <c r="A61" s="98" t="s">
        <v>212</v>
      </c>
      <c r="B61" s="370">
        <v>45.050000000000004</v>
      </c>
      <c r="C61" s="370">
        <v>18</v>
      </c>
      <c r="D61" s="363">
        <f t="shared" si="7"/>
        <v>2.5027777777777782</v>
      </c>
      <c r="E61" s="363">
        <f t="shared" ca="1" si="8"/>
        <v>1133.3333333333333</v>
      </c>
    </row>
    <row r="62" spans="1:5" ht="29.1" customHeight="1">
      <c r="A62" s="98" t="s">
        <v>213</v>
      </c>
      <c r="B62" s="370">
        <v>168.99999999999997</v>
      </c>
      <c r="C62" s="370">
        <v>71</v>
      </c>
      <c r="D62" s="363">
        <f t="shared" si="7"/>
        <v>2.3802816901408446</v>
      </c>
      <c r="E62" s="363">
        <f t="shared" ca="1" si="8"/>
        <v>287.32394366197184</v>
      </c>
    </row>
    <row r="63" spans="1:5" ht="29.1" customHeight="1">
      <c r="A63" s="98" t="s">
        <v>214</v>
      </c>
      <c r="B63" s="84">
        <v>3.6333333333333337</v>
      </c>
      <c r="C63" s="84">
        <v>2</v>
      </c>
      <c r="D63" s="363">
        <f t="shared" si="7"/>
        <v>1.8166666666666669</v>
      </c>
      <c r="E63" s="363">
        <f t="shared" ca="1" si="8"/>
        <v>10200</v>
      </c>
    </row>
    <row r="64" spans="1:5" ht="29.1" customHeight="1">
      <c r="A64" s="98" t="s">
        <v>215</v>
      </c>
      <c r="B64" s="370">
        <v>107.58333333333334</v>
      </c>
      <c r="C64" s="370">
        <v>18</v>
      </c>
      <c r="D64" s="363">
        <f t="shared" si="7"/>
        <v>5.9768518518518521</v>
      </c>
      <c r="E64" s="363">
        <f t="shared" ca="1" si="8"/>
        <v>1133.3333333333333</v>
      </c>
    </row>
    <row r="65" spans="1:5" ht="29.1" customHeight="1">
      <c r="A65" s="98" t="s">
        <v>216</v>
      </c>
      <c r="B65" s="370">
        <v>3.8833333333333302</v>
      </c>
      <c r="C65" s="370">
        <v>2</v>
      </c>
      <c r="D65" s="363">
        <f t="shared" si="7"/>
        <v>1.9416666666666651</v>
      </c>
      <c r="E65" s="363">
        <f t="shared" ca="1" si="8"/>
        <v>10200</v>
      </c>
    </row>
    <row r="66" spans="1:5" ht="29.1" customHeight="1">
      <c r="A66" s="98" t="s">
        <v>217</v>
      </c>
      <c r="B66" s="370">
        <v>0.46666666666666501</v>
      </c>
      <c r="C66" s="370">
        <v>1</v>
      </c>
      <c r="D66" s="363">
        <f t="shared" si="7"/>
        <v>0.46666666666666501</v>
      </c>
      <c r="E66" s="363">
        <f t="shared" ca="1" si="8"/>
        <v>20400</v>
      </c>
    </row>
    <row r="67" spans="1:5" ht="29.1" customHeight="1">
      <c r="A67" s="98" t="s">
        <v>218</v>
      </c>
      <c r="B67" s="370">
        <v>21.883333333333333</v>
      </c>
      <c r="C67" s="370">
        <v>11</v>
      </c>
      <c r="D67" s="363">
        <f t="shared" si="7"/>
        <v>1.9893939393939393</v>
      </c>
      <c r="E67" s="363">
        <f t="shared" ca="1" si="8"/>
        <v>1854.5454545454545</v>
      </c>
    </row>
    <row r="68" spans="1:5" ht="29.1" customHeight="1">
      <c r="A68" s="98" t="s">
        <v>219</v>
      </c>
      <c r="B68" s="370">
        <v>3.5499999999999994</v>
      </c>
      <c r="C68" s="370">
        <v>3</v>
      </c>
      <c r="D68" s="363">
        <f t="shared" si="7"/>
        <v>1.1833333333333331</v>
      </c>
      <c r="E68" s="363">
        <f t="shared" ca="1" si="8"/>
        <v>6800</v>
      </c>
    </row>
    <row r="69" spans="1:5" ht="29.1" customHeight="1">
      <c r="A69" s="98" t="s">
        <v>220</v>
      </c>
      <c r="B69" s="370">
        <v>10.433333333333334</v>
      </c>
      <c r="C69" s="370">
        <v>5</v>
      </c>
      <c r="D69" s="363">
        <f t="shared" si="7"/>
        <v>2.0866666666666669</v>
      </c>
      <c r="E69" s="363">
        <f t="shared" ca="1" si="8"/>
        <v>4080</v>
      </c>
    </row>
    <row r="70" spans="1:5" ht="29.1" customHeight="1">
      <c r="A70" s="98" t="s">
        <v>221</v>
      </c>
      <c r="B70" s="370">
        <v>120.08333333333333</v>
      </c>
      <c r="C70" s="370">
        <v>23</v>
      </c>
      <c r="D70" s="363">
        <f t="shared" si="7"/>
        <v>5.2210144927536231</v>
      </c>
      <c r="E70" s="363">
        <f t="shared" ca="1" si="8"/>
        <v>886.95652173913038</v>
      </c>
    </row>
    <row r="71" spans="1:5" ht="29.1" customHeight="1">
      <c r="A71" s="98" t="s">
        <v>222</v>
      </c>
      <c r="B71" s="370">
        <v>48.433333333333337</v>
      </c>
      <c r="C71" s="370">
        <v>12</v>
      </c>
      <c r="D71" s="363">
        <f t="shared" si="7"/>
        <v>4.0361111111111114</v>
      </c>
      <c r="E71" s="363">
        <f t="shared" ca="1" si="8"/>
        <v>1700</v>
      </c>
    </row>
    <row r="72" spans="1:5" ht="29.1" customHeight="1">
      <c r="A72" s="98" t="s">
        <v>223</v>
      </c>
      <c r="B72" s="370">
        <v>40.04999999999999</v>
      </c>
      <c r="C72" s="370">
        <v>13</v>
      </c>
      <c r="D72" s="363">
        <f t="shared" si="7"/>
        <v>3.08076923076923</v>
      </c>
      <c r="E72" s="363">
        <f t="shared" ca="1" si="8"/>
        <v>1569.2307692307693</v>
      </c>
    </row>
    <row r="73" spans="1:5" ht="29.1" customHeight="1">
      <c r="A73" s="98" t="s">
        <v>224</v>
      </c>
      <c r="B73" s="370">
        <v>917.15000000000055</v>
      </c>
      <c r="C73" s="370">
        <v>200</v>
      </c>
      <c r="D73" s="363">
        <f t="shared" si="7"/>
        <v>4.5857500000000027</v>
      </c>
      <c r="E73" s="363">
        <f t="shared" ca="1" si="8"/>
        <v>102</v>
      </c>
    </row>
    <row r="74" spans="1:5" ht="29.1" customHeight="1">
      <c r="A74" s="98" t="s">
        <v>225</v>
      </c>
      <c r="B74" s="370">
        <v>147.41666666666669</v>
      </c>
      <c r="C74" s="370">
        <v>7</v>
      </c>
      <c r="D74" s="363">
        <f t="shared" si="7"/>
        <v>21.059523809523814</v>
      </c>
      <c r="E74" s="363">
        <f t="shared" ca="1" si="8"/>
        <v>2914.2857142857142</v>
      </c>
    </row>
    <row r="75" spans="1:5" ht="29.1" customHeight="1">
      <c r="A75" s="98" t="s">
        <v>226</v>
      </c>
      <c r="B75" s="370">
        <v>35.799999999999997</v>
      </c>
      <c r="C75" s="370">
        <v>10</v>
      </c>
      <c r="D75" s="363">
        <f t="shared" si="7"/>
        <v>3.5799999999999996</v>
      </c>
      <c r="E75" s="363">
        <f t="shared" ca="1" si="8"/>
        <v>2040</v>
      </c>
    </row>
    <row r="76" spans="1:5" ht="29.1" customHeight="1">
      <c r="A76" s="98" t="s">
        <v>227</v>
      </c>
      <c r="B76" s="370">
        <v>152.71666666666673</v>
      </c>
      <c r="C76" s="370">
        <v>47</v>
      </c>
      <c r="D76" s="363">
        <f t="shared" si="7"/>
        <v>3.2492907801418451</v>
      </c>
      <c r="E76" s="363">
        <f t="shared" ca="1" si="8"/>
        <v>434.04255319148939</v>
      </c>
    </row>
    <row r="77" spans="1:5" ht="29.1" customHeight="1">
      <c r="A77" s="98" t="s">
        <v>228</v>
      </c>
      <c r="B77" s="370">
        <v>15.916666666666663</v>
      </c>
      <c r="C77" s="370">
        <v>4</v>
      </c>
      <c r="D77" s="363">
        <f t="shared" si="7"/>
        <v>3.9791666666666656</v>
      </c>
      <c r="E77" s="363">
        <f t="shared" ca="1" si="8"/>
        <v>5100</v>
      </c>
    </row>
    <row r="78" spans="1:5" ht="29.1" customHeight="1">
      <c r="A78" s="98" t="s">
        <v>229</v>
      </c>
      <c r="B78" s="370">
        <v>74.63333333333334</v>
      </c>
      <c r="C78" s="370">
        <v>34</v>
      </c>
      <c r="D78" s="363">
        <f t="shared" si="7"/>
        <v>2.1950980392156865</v>
      </c>
      <c r="E78" s="363">
        <f t="shared" ca="1" si="8"/>
        <v>600</v>
      </c>
    </row>
    <row r="79" spans="1:5" ht="29.1" customHeight="1">
      <c r="A79" s="98" t="s">
        <v>230</v>
      </c>
      <c r="B79" s="370">
        <v>241.31611111111107</v>
      </c>
      <c r="C79" s="370">
        <v>69</v>
      </c>
      <c r="D79" s="363">
        <f t="shared" si="7"/>
        <v>3.4973349436392906</v>
      </c>
      <c r="E79" s="363">
        <f t="shared" ca="1" si="8"/>
        <v>295.6521739130435</v>
      </c>
    </row>
    <row r="80" spans="1:5" ht="29.1" customHeight="1">
      <c r="A80" s="98" t="s">
        <v>231</v>
      </c>
      <c r="B80" s="370">
        <v>12.233333333333338</v>
      </c>
      <c r="C80" s="370">
        <v>4</v>
      </c>
      <c r="D80" s="363">
        <f t="shared" si="7"/>
        <v>3.0583333333333345</v>
      </c>
      <c r="E80" s="363">
        <f t="shared" ca="1" si="8"/>
        <v>5100</v>
      </c>
    </row>
    <row r="81" spans="1:5" ht="29.1" customHeight="1">
      <c r="A81" s="98" t="s">
        <v>232</v>
      </c>
      <c r="B81" s="370">
        <v>25.333333333333329</v>
      </c>
      <c r="C81" s="370">
        <v>6</v>
      </c>
      <c r="D81" s="363">
        <f t="shared" si="7"/>
        <v>4.2222222222222214</v>
      </c>
      <c r="E81" s="363">
        <f t="shared" ca="1" si="8"/>
        <v>3400</v>
      </c>
    </row>
    <row r="82" spans="1:5" ht="29.1" customHeight="1">
      <c r="A82" s="98" t="s">
        <v>233</v>
      </c>
      <c r="B82" s="370">
        <v>20.683333333333341</v>
      </c>
      <c r="C82" s="370">
        <v>5</v>
      </c>
      <c r="D82" s="363">
        <f t="shared" si="7"/>
        <v>4.1366666666666685</v>
      </c>
      <c r="E82" s="363">
        <f t="shared" ca="1" si="8"/>
        <v>4080</v>
      </c>
    </row>
    <row r="83" spans="1:5" ht="29.1" customHeight="1">
      <c r="A83" s="98" t="s">
        <v>234</v>
      </c>
      <c r="B83" s="370">
        <v>4.9833333333333325</v>
      </c>
      <c r="C83" s="370">
        <v>1</v>
      </c>
      <c r="D83" s="363">
        <f t="shared" si="7"/>
        <v>4.9833333333333325</v>
      </c>
      <c r="E83" s="363">
        <f t="shared" ca="1" si="8"/>
        <v>20400</v>
      </c>
    </row>
    <row r="84" spans="1:5" ht="29.1" customHeight="1">
      <c r="A84" s="98" t="s">
        <v>235</v>
      </c>
      <c r="B84" s="370">
        <v>3.5166666666666693</v>
      </c>
      <c r="C84" s="370">
        <v>3</v>
      </c>
      <c r="D84" s="363">
        <f t="shared" si="7"/>
        <v>1.1722222222222232</v>
      </c>
      <c r="E84" s="363">
        <f t="shared" ca="1" si="8"/>
        <v>6800</v>
      </c>
    </row>
    <row r="85" spans="1:5" ht="29.1" customHeight="1">
      <c r="A85" s="98" t="s">
        <v>236</v>
      </c>
      <c r="B85" s="370">
        <v>287.5333333333333</v>
      </c>
      <c r="C85" s="370">
        <v>50</v>
      </c>
      <c r="D85" s="363">
        <f t="shared" si="7"/>
        <v>5.7506666666666657</v>
      </c>
      <c r="E85" s="363">
        <f t="shared" ca="1" si="8"/>
        <v>408</v>
      </c>
    </row>
    <row r="86" spans="1:5" ht="29.1" customHeight="1">
      <c r="A86" s="98" t="s">
        <v>237</v>
      </c>
      <c r="B86" s="370">
        <v>29.383333333333336</v>
      </c>
      <c r="C86" s="370">
        <v>12</v>
      </c>
      <c r="D86" s="363">
        <f t="shared" si="7"/>
        <v>2.4486111111111115</v>
      </c>
      <c r="E86" s="363">
        <f t="shared" ca="1" si="8"/>
        <v>1700</v>
      </c>
    </row>
    <row r="87" spans="1:5" ht="29.1" customHeight="1">
      <c r="A87" s="98" t="s">
        <v>238</v>
      </c>
      <c r="B87" s="370">
        <v>420.54999999999995</v>
      </c>
      <c r="C87" s="370">
        <v>64</v>
      </c>
      <c r="D87" s="363">
        <f t="shared" si="7"/>
        <v>6.5710937499999993</v>
      </c>
      <c r="E87" s="363">
        <f t="shared" ca="1" si="8"/>
        <v>318.75</v>
      </c>
    </row>
    <row r="88" spans="1:5" ht="29.1" customHeight="1">
      <c r="A88" s="98" t="s">
        <v>239</v>
      </c>
      <c r="B88" s="370">
        <v>24.283333333333335</v>
      </c>
      <c r="C88" s="370">
        <v>8</v>
      </c>
      <c r="D88" s="363">
        <f t="shared" si="7"/>
        <v>3.0354166666666669</v>
      </c>
      <c r="E88" s="363">
        <f t="shared" ca="1" si="8"/>
        <v>2550</v>
      </c>
    </row>
    <row r="89" spans="1:5" ht="29.1" customHeight="1">
      <c r="A89" s="98" t="s">
        <v>240</v>
      </c>
      <c r="B89" s="370">
        <v>9.1499999999999986</v>
      </c>
      <c r="C89" s="370">
        <v>3</v>
      </c>
      <c r="D89" s="363">
        <f t="shared" si="7"/>
        <v>3.0499999999999994</v>
      </c>
      <c r="E89" s="363">
        <f t="shared" ca="1" si="8"/>
        <v>6800</v>
      </c>
    </row>
    <row r="90" spans="1:5" ht="29.1" customHeight="1">
      <c r="A90" s="98" t="s">
        <v>241</v>
      </c>
      <c r="B90" s="370">
        <v>3.5999999999999979</v>
      </c>
      <c r="C90" s="370">
        <v>1</v>
      </c>
      <c r="D90" s="363">
        <f t="shared" si="7"/>
        <v>3.5999999999999979</v>
      </c>
      <c r="E90" s="363">
        <f t="shared" ca="1" si="8"/>
        <v>20400</v>
      </c>
    </row>
    <row r="91" spans="1:5" ht="29.1" customHeight="1">
      <c r="A91" s="98" t="s">
        <v>242</v>
      </c>
      <c r="B91" s="370">
        <v>7.2333333333333325</v>
      </c>
      <c r="C91" s="370">
        <v>4</v>
      </c>
      <c r="D91" s="363">
        <f t="shared" si="7"/>
        <v>1.8083333333333331</v>
      </c>
      <c r="E91" s="363">
        <f t="shared" ca="1" si="8"/>
        <v>5100</v>
      </c>
    </row>
    <row r="92" spans="1:5" ht="29.1" customHeight="1">
      <c r="A92" s="98" t="s">
        <v>243</v>
      </c>
      <c r="B92" s="370">
        <v>92.783333333333346</v>
      </c>
      <c r="C92" s="370">
        <v>15</v>
      </c>
      <c r="D92" s="363">
        <f t="shared" si="7"/>
        <v>6.1855555555555561</v>
      </c>
      <c r="E92" s="363">
        <f t="shared" ca="1" si="8"/>
        <v>1360</v>
      </c>
    </row>
    <row r="93" spans="1:5" ht="29.1" customHeight="1">
      <c r="A93" s="98" t="s">
        <v>244</v>
      </c>
      <c r="B93" s="370">
        <v>4.2333333333333343</v>
      </c>
      <c r="C93" s="370">
        <v>3</v>
      </c>
      <c r="D93" s="363">
        <f t="shared" si="7"/>
        <v>1.4111111111111114</v>
      </c>
      <c r="E93" s="363">
        <f t="shared" ca="1" si="8"/>
        <v>6800</v>
      </c>
    </row>
    <row r="94" spans="1:5" ht="29.1" customHeight="1">
      <c r="A94" s="98" t="s">
        <v>245</v>
      </c>
      <c r="B94" s="370">
        <v>2.6833333333333327</v>
      </c>
      <c r="C94" s="370">
        <v>4</v>
      </c>
      <c r="D94" s="363">
        <f t="shared" si="7"/>
        <v>0.67083333333333317</v>
      </c>
      <c r="E94" s="363">
        <f t="shared" ca="1" si="8"/>
        <v>5100</v>
      </c>
    </row>
    <row r="95" spans="1:5" ht="29.1" customHeight="1">
      <c r="A95" s="98" t="s">
        <v>246</v>
      </c>
      <c r="B95" s="370">
        <v>8.5333333333333314</v>
      </c>
      <c r="C95" s="370">
        <v>10</v>
      </c>
      <c r="D95" s="363">
        <f t="shared" ref="D95:D108" si="9">B95/C95</f>
        <v>0.85333333333333317</v>
      </c>
      <c r="E95" s="363">
        <f t="shared" ref="E95:E108" ca="1" si="10">$D$26/C95</f>
        <v>2040</v>
      </c>
    </row>
    <row r="96" spans="1:5" ht="29.1" customHeight="1">
      <c r="A96" s="98" t="s">
        <v>247</v>
      </c>
      <c r="B96" s="370">
        <v>5.6666666666666679</v>
      </c>
      <c r="C96" s="370">
        <v>1</v>
      </c>
      <c r="D96" s="363">
        <f t="shared" si="9"/>
        <v>5.6666666666666679</v>
      </c>
      <c r="E96" s="363">
        <f t="shared" ca="1" si="10"/>
        <v>20400</v>
      </c>
    </row>
    <row r="97" spans="1:5" ht="29.1" customHeight="1">
      <c r="A97" s="98" t="s">
        <v>248</v>
      </c>
      <c r="B97" s="370">
        <v>33.916666666666671</v>
      </c>
      <c r="C97" s="370">
        <v>11</v>
      </c>
      <c r="D97" s="363">
        <f t="shared" si="9"/>
        <v>3.0833333333333339</v>
      </c>
      <c r="E97" s="363">
        <f t="shared" ca="1" si="10"/>
        <v>1854.5454545454545</v>
      </c>
    </row>
    <row r="98" spans="1:5" ht="29.1" customHeight="1">
      <c r="A98" s="98" t="s">
        <v>249</v>
      </c>
      <c r="B98" s="370">
        <v>22.583333333333336</v>
      </c>
      <c r="C98" s="370">
        <v>4</v>
      </c>
      <c r="D98" s="363">
        <f t="shared" si="9"/>
        <v>5.6458333333333339</v>
      </c>
      <c r="E98" s="363">
        <f t="shared" ca="1" si="10"/>
        <v>5100</v>
      </c>
    </row>
    <row r="99" spans="1:5" ht="29.1" customHeight="1">
      <c r="A99" s="98" t="s">
        <v>250</v>
      </c>
      <c r="B99" s="370">
        <v>6.6499999999999995</v>
      </c>
      <c r="C99" s="370">
        <v>5</v>
      </c>
      <c r="D99" s="363">
        <f t="shared" si="9"/>
        <v>1.3299999999999998</v>
      </c>
      <c r="E99" s="363">
        <f t="shared" ca="1" si="10"/>
        <v>4080</v>
      </c>
    </row>
    <row r="100" spans="1:5" ht="29.1" customHeight="1">
      <c r="A100" s="98" t="s">
        <v>251</v>
      </c>
      <c r="B100" s="370">
        <v>3.1666666666666661</v>
      </c>
      <c r="C100" s="370">
        <v>1</v>
      </c>
      <c r="D100" s="363">
        <f t="shared" si="9"/>
        <v>3.1666666666666661</v>
      </c>
      <c r="E100" s="363">
        <f t="shared" ca="1" si="10"/>
        <v>20400</v>
      </c>
    </row>
    <row r="101" spans="1:5" ht="29.1" customHeight="1">
      <c r="A101" s="98" t="s">
        <v>252</v>
      </c>
      <c r="B101" s="370">
        <v>12.033333333333333</v>
      </c>
      <c r="C101" s="370">
        <v>4</v>
      </c>
      <c r="D101" s="363">
        <f t="shared" si="9"/>
        <v>3.0083333333333333</v>
      </c>
      <c r="E101" s="363">
        <f t="shared" ca="1" si="10"/>
        <v>5100</v>
      </c>
    </row>
    <row r="102" spans="1:5" ht="29.1" customHeight="1">
      <c r="A102" s="98" t="s">
        <v>253</v>
      </c>
      <c r="B102" s="370">
        <v>74.649999999999991</v>
      </c>
      <c r="C102" s="370">
        <v>24</v>
      </c>
      <c r="D102" s="363">
        <f t="shared" si="9"/>
        <v>3.1104166666666662</v>
      </c>
      <c r="E102" s="363">
        <f t="shared" ca="1" si="10"/>
        <v>850</v>
      </c>
    </row>
    <row r="103" spans="1:5" ht="29.1" customHeight="1">
      <c r="A103" s="98" t="s">
        <v>254</v>
      </c>
      <c r="B103" s="370">
        <v>11.083333333333332</v>
      </c>
      <c r="C103" s="370">
        <v>5</v>
      </c>
      <c r="D103" s="363">
        <f t="shared" si="9"/>
        <v>2.2166666666666663</v>
      </c>
      <c r="E103" s="363">
        <f t="shared" ca="1" si="10"/>
        <v>4080</v>
      </c>
    </row>
    <row r="104" spans="1:5" ht="29.1" customHeight="1">
      <c r="A104" s="98" t="s">
        <v>255</v>
      </c>
      <c r="B104" s="370">
        <v>79.483333333333348</v>
      </c>
      <c r="C104" s="370">
        <v>40</v>
      </c>
      <c r="D104" s="363">
        <f t="shared" si="9"/>
        <v>1.9870833333333338</v>
      </c>
      <c r="E104" s="363">
        <f t="shared" ca="1" si="10"/>
        <v>510</v>
      </c>
    </row>
    <row r="105" spans="1:5" ht="29.1" customHeight="1">
      <c r="A105" s="98" t="s">
        <v>256</v>
      </c>
      <c r="B105" s="370">
        <v>9.8333333333333357</v>
      </c>
      <c r="C105" s="370">
        <v>3</v>
      </c>
      <c r="D105" s="363">
        <f t="shared" si="9"/>
        <v>3.2777777777777786</v>
      </c>
      <c r="E105" s="363">
        <f t="shared" ca="1" si="10"/>
        <v>6800</v>
      </c>
    </row>
    <row r="106" spans="1:5" ht="29.1" customHeight="1">
      <c r="A106" s="98" t="s">
        <v>257</v>
      </c>
      <c r="B106" s="370">
        <v>9.2166666666666668</v>
      </c>
      <c r="C106" s="370">
        <v>2</v>
      </c>
      <c r="D106" s="363">
        <f t="shared" si="9"/>
        <v>4.6083333333333334</v>
      </c>
      <c r="E106" s="363">
        <f t="shared" ca="1" si="10"/>
        <v>10200</v>
      </c>
    </row>
    <row r="107" spans="1:5" ht="29.1" customHeight="1">
      <c r="A107" s="98" t="s">
        <v>258</v>
      </c>
      <c r="B107" s="84">
        <v>0</v>
      </c>
      <c r="C107" s="84"/>
      <c r="D107" s="363" t="e">
        <f t="shared" si="9"/>
        <v>#DIV/0!</v>
      </c>
      <c r="E107" s="363" t="e">
        <f t="shared" ca="1" si="10"/>
        <v>#DIV/0!</v>
      </c>
    </row>
    <row r="108" spans="1:5" ht="29.1" customHeight="1">
      <c r="A108" s="98" t="s">
        <v>259</v>
      </c>
      <c r="B108" s="84">
        <v>4.9000000000000012</v>
      </c>
      <c r="C108" s="84">
        <v>1</v>
      </c>
      <c r="D108" s="363">
        <f t="shared" si="9"/>
        <v>4.9000000000000012</v>
      </c>
      <c r="E108" s="363">
        <f t="shared" ca="1" si="10"/>
        <v>20400</v>
      </c>
    </row>
    <row r="109" spans="1:5" ht="29.1" customHeight="1">
      <c r="A109" s="98" t="s">
        <v>260</v>
      </c>
      <c r="B109" s="84">
        <v>1.5833333333333357</v>
      </c>
      <c r="C109" s="84">
        <v>1</v>
      </c>
    </row>
    <row r="110" spans="1:5" ht="29.1" customHeight="1">
      <c r="A110" s="98" t="s">
        <v>261</v>
      </c>
      <c r="B110" s="84">
        <v>9.1666666666666679</v>
      </c>
      <c r="C110" s="84">
        <v>3</v>
      </c>
    </row>
    <row r="111" spans="1:5" ht="29.1" customHeight="1">
      <c r="A111" s="98" t="s">
        <v>262</v>
      </c>
      <c r="B111" s="84">
        <v>46.416666666666664</v>
      </c>
      <c r="C111" s="84">
        <v>15</v>
      </c>
    </row>
    <row r="112" spans="1:5" ht="29.1" customHeight="1">
      <c r="A112" s="98" t="s">
        <v>263</v>
      </c>
      <c r="B112" s="84">
        <v>69.316666666666649</v>
      </c>
      <c r="C112" s="84">
        <v>12</v>
      </c>
    </row>
    <row r="113" spans="1:3" ht="29.1" customHeight="1">
      <c r="A113" s="98" t="s">
        <v>264</v>
      </c>
      <c r="B113" s="84">
        <v>12.083333333333332</v>
      </c>
      <c r="C113" s="84">
        <v>1</v>
      </c>
    </row>
    <row r="114" spans="1:3" ht="29.1" customHeight="1">
      <c r="A114" s="98" t="s">
        <v>265</v>
      </c>
      <c r="B114" s="84">
        <v>7.5166666666666666</v>
      </c>
      <c r="C114" s="84">
        <v>1</v>
      </c>
    </row>
    <row r="115" spans="1:3" ht="29.1" customHeight="1">
      <c r="A115" s="98" t="s">
        <v>266</v>
      </c>
      <c r="B115" s="84">
        <v>8.0499999999999972</v>
      </c>
      <c r="C115" s="84">
        <v>1</v>
      </c>
    </row>
    <row r="116" spans="1:3" ht="29.1" customHeight="1">
      <c r="A116" s="98" t="s">
        <v>267</v>
      </c>
      <c r="B116" s="84">
        <v>20.916666666666664</v>
      </c>
      <c r="C116" s="84">
        <v>3</v>
      </c>
    </row>
    <row r="117" spans="1:3" ht="29.1" customHeight="1">
      <c r="A117" s="98" t="s">
        <v>268</v>
      </c>
      <c r="B117" s="84">
        <v>97.38333333333334</v>
      </c>
      <c r="C117" s="84">
        <v>27</v>
      </c>
    </row>
    <row r="118" spans="1:3" ht="29.1" customHeight="1">
      <c r="A118" s="98" t="s">
        <v>269</v>
      </c>
      <c r="B118" s="84">
        <v>751.81666666666695</v>
      </c>
      <c r="C118" s="84">
        <v>49</v>
      </c>
    </row>
    <row r="119" spans="1:3" ht="29.1" customHeight="1">
      <c r="A119" s="98" t="s">
        <v>270</v>
      </c>
      <c r="B119" s="84">
        <v>6.5</v>
      </c>
      <c r="C119" s="84">
        <v>2</v>
      </c>
    </row>
    <row r="120" spans="1:3" ht="29.1" customHeight="1">
      <c r="A120" s="98" t="s">
        <v>271</v>
      </c>
      <c r="B120" s="84">
        <v>141.13333333333341</v>
      </c>
      <c r="C120" s="84">
        <v>74</v>
      </c>
    </row>
    <row r="121" spans="1:3" ht="29.1" customHeight="1">
      <c r="A121" s="98" t="s">
        <v>272</v>
      </c>
      <c r="B121" s="84">
        <v>1141.2666666666657</v>
      </c>
      <c r="C121" s="84">
        <v>151</v>
      </c>
    </row>
    <row r="122" spans="1:3" ht="29.1" customHeight="1">
      <c r="A122" s="98" t="s">
        <v>273</v>
      </c>
      <c r="B122" s="84">
        <v>626.25000000000034</v>
      </c>
      <c r="C122" s="84">
        <v>174</v>
      </c>
    </row>
    <row r="123" spans="1:3" ht="29.1" customHeight="1">
      <c r="A123" s="98" t="s">
        <v>274</v>
      </c>
      <c r="B123" s="84">
        <v>27.383055555555551</v>
      </c>
      <c r="C123" s="84">
        <v>8</v>
      </c>
    </row>
    <row r="124" spans="1:3" ht="29.1" customHeight="1">
      <c r="A124" s="98" t="s">
        <v>275</v>
      </c>
      <c r="B124" s="84">
        <v>19.45</v>
      </c>
      <c r="C124" s="84">
        <v>2</v>
      </c>
    </row>
    <row r="125" spans="1:3" ht="29.1" customHeight="1">
      <c r="A125" s="98" t="s">
        <v>276</v>
      </c>
      <c r="B125" s="84">
        <v>37.866666666666667</v>
      </c>
      <c r="C125" s="84">
        <v>19</v>
      </c>
    </row>
    <row r="126" spans="1:3" ht="29.1" customHeight="1">
      <c r="A126" s="98" t="s">
        <v>277</v>
      </c>
      <c r="B126" s="84">
        <v>7.5499999999999989</v>
      </c>
      <c r="C126" s="84">
        <v>4</v>
      </c>
    </row>
    <row r="127" spans="1:3" ht="29.1" customHeight="1">
      <c r="A127" s="98" t="s">
        <v>278</v>
      </c>
      <c r="B127" s="84">
        <v>0.61666666666666714</v>
      </c>
      <c r="C127" s="84">
        <v>1</v>
      </c>
    </row>
    <row r="128" spans="1:3" ht="29.1" customHeight="1">
      <c r="A128" s="98" t="s">
        <v>279</v>
      </c>
      <c r="B128" s="84">
        <v>6.6666666666666679</v>
      </c>
      <c r="C128" s="84">
        <v>1</v>
      </c>
    </row>
    <row r="129" spans="1:3" ht="29.1" customHeight="1">
      <c r="A129" s="98" t="s">
        <v>280</v>
      </c>
      <c r="B129" s="84">
        <v>28.116666666666667</v>
      </c>
      <c r="C129" s="84">
        <v>8</v>
      </c>
    </row>
    <row r="130" spans="1:3" ht="29.1" customHeight="1">
      <c r="A130" s="98" t="s">
        <v>281</v>
      </c>
      <c r="B130" s="84">
        <v>8.716666666666665</v>
      </c>
      <c r="C130" s="84">
        <v>5</v>
      </c>
    </row>
    <row r="131" spans="1:3" ht="29.1" customHeight="1">
      <c r="A131" s="98" t="s">
        <v>282</v>
      </c>
      <c r="B131" s="84">
        <v>1528.4150000000009</v>
      </c>
      <c r="C131" s="84">
        <v>65</v>
      </c>
    </row>
    <row r="132" spans="1:3" ht="29.1" customHeight="1">
      <c r="A132" s="98" t="s">
        <v>283</v>
      </c>
      <c r="B132" s="84">
        <v>3511.6666666666551</v>
      </c>
      <c r="C132" s="84">
        <v>148</v>
      </c>
    </row>
    <row r="133" spans="1:3" ht="29.1" customHeight="1">
      <c r="A133" s="98" t="s">
        <v>284</v>
      </c>
      <c r="B133" s="84">
        <v>61.566666666666663</v>
      </c>
      <c r="C133" s="84">
        <v>6</v>
      </c>
    </row>
    <row r="134" spans="1:3" ht="29.1" customHeight="1">
      <c r="A134" s="98" t="s">
        <v>285</v>
      </c>
      <c r="B134" s="84">
        <v>86.966666666666669</v>
      </c>
      <c r="C134" s="84">
        <v>5</v>
      </c>
    </row>
    <row r="135" spans="1:3" ht="29.1" customHeight="1">
      <c r="A135" s="98" t="s">
        <v>286</v>
      </c>
      <c r="B135" s="84">
        <v>3.3166666666666695</v>
      </c>
      <c r="C135" s="84">
        <v>13</v>
      </c>
    </row>
    <row r="136" spans="1:3" ht="29.1" customHeight="1">
      <c r="A136" s="98" t="s">
        <v>287</v>
      </c>
      <c r="B136" s="84">
        <v>2.4000000000000021</v>
      </c>
      <c r="C136" s="84">
        <v>1</v>
      </c>
    </row>
    <row r="137" spans="1:3" ht="29.1" customHeight="1">
      <c r="A137" s="98" t="s">
        <v>288</v>
      </c>
      <c r="B137" s="84">
        <v>16.766666666666662</v>
      </c>
      <c r="C137" s="84">
        <v>6</v>
      </c>
    </row>
    <row r="138" spans="1:3" ht="29.1" customHeight="1">
      <c r="A138" s="98" t="s">
        <v>289</v>
      </c>
      <c r="B138" s="84">
        <v>2.9000000000000004</v>
      </c>
      <c r="C138" s="84">
        <v>1</v>
      </c>
    </row>
    <row r="139" spans="1:3" ht="29.1" customHeight="1">
      <c r="A139" s="98" t="s">
        <v>290</v>
      </c>
      <c r="B139" s="84">
        <v>37.049999999999997</v>
      </c>
      <c r="C139" s="84">
        <v>5</v>
      </c>
    </row>
    <row r="140" spans="1:3" ht="29.1" customHeight="1">
      <c r="A140" s="98" t="s">
        <v>291</v>
      </c>
      <c r="B140" s="84">
        <v>2.9333333333333358</v>
      </c>
      <c r="C140" s="84">
        <v>2</v>
      </c>
    </row>
    <row r="141" spans="1:3" ht="29.1" customHeight="1">
      <c r="A141" s="98" t="s">
        <v>292</v>
      </c>
      <c r="B141" s="84">
        <v>326.2166666666667</v>
      </c>
      <c r="C141" s="84">
        <v>16</v>
      </c>
    </row>
    <row r="142" spans="1:3" ht="29.1" customHeight="1">
      <c r="A142" s="98" t="s">
        <v>293</v>
      </c>
      <c r="B142" s="84">
        <v>4.5666666666666664</v>
      </c>
      <c r="C142" s="84">
        <v>1</v>
      </c>
    </row>
    <row r="143" spans="1:3" ht="29.1" customHeight="1">
      <c r="A143" s="98" t="s">
        <v>294</v>
      </c>
      <c r="B143" s="84">
        <v>25.150000000000006</v>
      </c>
      <c r="C143" s="84">
        <v>4</v>
      </c>
    </row>
    <row r="144" spans="1:3" ht="29.1" customHeight="1">
      <c r="A144" s="98" t="s">
        <v>295</v>
      </c>
      <c r="B144" s="84">
        <v>28.6</v>
      </c>
      <c r="C144" s="84">
        <v>3</v>
      </c>
    </row>
    <row r="145" spans="1:3" ht="29.1" customHeight="1">
      <c r="A145" s="98" t="s">
        <v>296</v>
      </c>
      <c r="B145" s="84">
        <v>7.9666666666666686</v>
      </c>
      <c r="C145" s="84">
        <v>2</v>
      </c>
    </row>
    <row r="146" spans="1:3" ht="29.1" customHeight="1">
      <c r="A146" s="98" t="s">
        <v>297</v>
      </c>
      <c r="B146" s="84">
        <v>85.916666666666714</v>
      </c>
      <c r="C146" s="84">
        <v>34</v>
      </c>
    </row>
    <row r="147" spans="1:3" ht="29.1" customHeight="1">
      <c r="A147" s="98" t="s">
        <v>298</v>
      </c>
      <c r="B147" s="84">
        <v>3.4833333333333343</v>
      </c>
      <c r="C147" s="84">
        <v>2</v>
      </c>
    </row>
    <row r="148" spans="1:3" ht="29.1" customHeight="1">
      <c r="A148" s="98" t="s">
        <v>299</v>
      </c>
      <c r="B148" s="84">
        <v>0.4499999999999984</v>
      </c>
      <c r="C148" s="84">
        <v>1</v>
      </c>
    </row>
    <row r="149" spans="1:3" ht="29.1" customHeight="1">
      <c r="A149" s="98" t="s">
        <v>300</v>
      </c>
      <c r="B149" s="84">
        <v>9.0500000000000007</v>
      </c>
      <c r="C149" s="84">
        <v>3</v>
      </c>
    </row>
    <row r="150" spans="1:3" ht="29.1" customHeight="1">
      <c r="A150" s="98" t="s">
        <v>301</v>
      </c>
      <c r="B150" s="84">
        <v>6.5000000000000009</v>
      </c>
      <c r="C150" s="84">
        <v>3</v>
      </c>
    </row>
    <row r="151" spans="1:3" ht="29.1" customHeight="1">
      <c r="A151" s="98" t="s">
        <v>302</v>
      </c>
      <c r="B151" s="84">
        <v>4.7666666666666675</v>
      </c>
      <c r="C151" s="84">
        <v>1</v>
      </c>
    </row>
    <row r="152" spans="1:3" ht="29.1" customHeight="1">
      <c r="A152" s="98" t="s">
        <v>303</v>
      </c>
      <c r="B152" s="84">
        <v>230.83333333333337</v>
      </c>
      <c r="C152" s="84">
        <v>50</v>
      </c>
    </row>
    <row r="153" spans="1:3" ht="29.1" customHeight="1">
      <c r="A153" s="98" t="s">
        <v>304</v>
      </c>
      <c r="B153" s="84">
        <v>4.6999999999999993</v>
      </c>
      <c r="C153" s="84">
        <v>1</v>
      </c>
    </row>
    <row r="154" spans="1:3" ht="29.1" customHeight="1">
      <c r="A154" s="98" t="s">
        <v>305</v>
      </c>
      <c r="B154" s="84">
        <v>2.3833333333333355</v>
      </c>
      <c r="C154" s="84">
        <v>2</v>
      </c>
    </row>
    <row r="155" spans="1:3" ht="29.1" customHeight="1">
      <c r="A155" s="98" t="s">
        <v>306</v>
      </c>
      <c r="B155" s="84">
        <v>4.0666666666666655</v>
      </c>
      <c r="C155" s="84">
        <v>1</v>
      </c>
    </row>
    <row r="156" spans="1:3" ht="29.1"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4" priority="10" operator="lessThan">
      <formula>$D$2+$D$3</formula>
    </cfRule>
    <cfRule type="cellIs" dxfId="3"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M125" activePane="bottomRight" state="frozen"/>
      <selection pane="topRight" activeCell="B1" sqref="B1"/>
      <selection pane="bottomLeft" activeCell="A5" sqref="A5"/>
      <selection pane="bottomRight" activeCell="AE127" sqref="AE127"/>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6">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9">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381</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381</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v>28101</v>
      </c>
      <c r="G127" s="15">
        <v>28105</v>
      </c>
      <c r="H127" s="15">
        <v>28100</v>
      </c>
      <c r="I127" s="15">
        <v>28089</v>
      </c>
      <c r="J127" s="15">
        <v>23401</v>
      </c>
      <c r="K127" s="15">
        <v>28099</v>
      </c>
      <c r="L127" s="15">
        <v>28096</v>
      </c>
      <c r="M127" s="15">
        <v>28107</v>
      </c>
      <c r="N127" s="15">
        <v>31611</v>
      </c>
      <c r="O127" s="15">
        <v>28112</v>
      </c>
      <c r="P127" s="15">
        <v>28118</v>
      </c>
      <c r="Q127" s="15">
        <v>17570</v>
      </c>
      <c r="R127" s="15">
        <v>31613</v>
      </c>
      <c r="S127" s="15">
        <v>31620</v>
      </c>
      <c r="T127" s="15">
        <v>31621</v>
      </c>
      <c r="U127" s="15">
        <v>31600</v>
      </c>
      <c r="V127" s="15">
        <v>31619</v>
      </c>
      <c r="W127" s="15">
        <v>31599</v>
      </c>
      <c r="X127" s="15">
        <v>31621</v>
      </c>
      <c r="Y127" s="15">
        <v>31624</v>
      </c>
      <c r="Z127" s="15">
        <v>23421</v>
      </c>
      <c r="AA127" s="15">
        <v>23418</v>
      </c>
      <c r="AB127" s="15">
        <v>23411</v>
      </c>
      <c r="AC127" s="15">
        <v>22261</v>
      </c>
      <c r="AD127" s="15">
        <v>22291</v>
      </c>
      <c r="AE127" s="15">
        <v>23405</v>
      </c>
      <c r="AF127" s="15">
        <v>23419</v>
      </c>
      <c r="AG127" s="15">
        <v>0</v>
      </c>
      <c r="AH127" s="15">
        <v>23428</v>
      </c>
      <c r="AI127" s="15">
        <v>23432</v>
      </c>
      <c r="AJ127" s="15">
        <v>22295</v>
      </c>
      <c r="AK127" s="15">
        <v>22293</v>
      </c>
      <c r="AL127" s="15">
        <v>22289</v>
      </c>
      <c r="AM127" s="15">
        <v>22290</v>
      </c>
      <c r="AN127" s="15">
        <v>22294</v>
      </c>
      <c r="AO127" s="15">
        <v>22292</v>
      </c>
      <c r="AP127" s="15">
        <v>22288</v>
      </c>
      <c r="AQ127" s="15">
        <v>22296</v>
      </c>
      <c r="AR127" s="15">
        <v>22298</v>
      </c>
      <c r="AS127" s="16">
        <v>9.1</v>
      </c>
      <c r="AT127" s="16">
        <v>7.24</v>
      </c>
      <c r="AU127" s="16">
        <v>7.4</v>
      </c>
      <c r="AV127" s="16">
        <v>7.39</v>
      </c>
      <c r="AW127" s="16">
        <v>9.4</v>
      </c>
      <c r="AX127" s="16">
        <v>6.74</v>
      </c>
      <c r="AY127" s="16">
        <v>6.5</v>
      </c>
      <c r="AZ127" s="16">
        <v>9.6</v>
      </c>
      <c r="BA127" s="16">
        <v>6.3</v>
      </c>
      <c r="BB127" s="16">
        <v>9.6999999999999993</v>
      </c>
      <c r="BC127" s="16">
        <v>6.65</v>
      </c>
      <c r="BD127" s="16">
        <v>6.54</v>
      </c>
      <c r="BE127" s="16">
        <v>7.02</v>
      </c>
      <c r="BF127" s="16">
        <v>9.8000000000000007</v>
      </c>
      <c r="BG127" s="16">
        <v>9.8000000000000007</v>
      </c>
      <c r="BH127" s="16">
        <v>6.74</v>
      </c>
      <c r="BI127" s="16">
        <v>0</v>
      </c>
      <c r="BJ127" s="16">
        <v>9.6999999999999993</v>
      </c>
      <c r="BK127" s="16">
        <v>7.74</v>
      </c>
      <c r="BL127" s="16">
        <v>9.1</v>
      </c>
      <c r="BM127" s="16">
        <v>7.5</v>
      </c>
      <c r="BN127" s="16">
        <v>9.3000000000000007</v>
      </c>
      <c r="BO127" s="16">
        <v>6.64</v>
      </c>
      <c r="BP127" s="89">
        <v>9.5</v>
      </c>
      <c r="BQ127" s="16">
        <v>9.5</v>
      </c>
      <c r="BR127" s="16">
        <v>9.1999999999999993</v>
      </c>
      <c r="BS127" s="16">
        <v>7.37</v>
      </c>
      <c r="BT127" s="16">
        <v>0</v>
      </c>
      <c r="BU127" s="16">
        <v>7.52</v>
      </c>
      <c r="BV127" s="16">
        <v>0</v>
      </c>
      <c r="BW127" s="16">
        <v>7.67</v>
      </c>
      <c r="BX127" s="16">
        <v>7.75</v>
      </c>
      <c r="BY127" s="16">
        <v>9.7799999999999994</v>
      </c>
      <c r="BZ127" s="16">
        <v>8.3800000000000008</v>
      </c>
      <c r="CA127" s="16">
        <v>9.5</v>
      </c>
      <c r="CB127" s="16">
        <v>8.44</v>
      </c>
      <c r="CC127" s="16">
        <v>9.3000000000000007</v>
      </c>
      <c r="CD127" s="16">
        <v>6.9</v>
      </c>
      <c r="CE127" s="16">
        <v>6.2</v>
      </c>
      <c r="CF127" s="17">
        <f>SUM(Input_Raw[[#This Row],[G01]:[G40]])</f>
        <v>987547</v>
      </c>
      <c r="CG127" s="18">
        <f>IFERROR(AVERAGE(Input_Raw[[#This Row],[WS_G01]:[WS_G40]]),"")</f>
        <v>7.5105128205128198</v>
      </c>
      <c r="CH127" s="19"/>
      <c r="CI127" s="19"/>
      <c r="CJ127" s="15">
        <v>248543</v>
      </c>
      <c r="CK127" s="15">
        <v>2198</v>
      </c>
      <c r="CL127" s="15">
        <v>287518</v>
      </c>
      <c r="CM127" s="15">
        <v>2223</v>
      </c>
      <c r="CN127" s="15">
        <v>265477</v>
      </c>
      <c r="CO127" s="15">
        <v>1832</v>
      </c>
      <c r="CP127" s="15">
        <v>302305</v>
      </c>
      <c r="CQ127" s="15">
        <v>1878</v>
      </c>
      <c r="CR127" s="91">
        <f>IF(((Input_Raw[[#This Row],[33 kV_Wind_F1_Export reading]]-CJ126)*1200)&gt;0,(Input_Raw[[#This Row],[33 kV_Wind_F1_Export reading]]-CJ126)*1200,0)</f>
        <v>222000</v>
      </c>
      <c r="CS127" s="91">
        <f>IF(((Input_Raw[[#This Row],[33 kV_Wind_F1_Import reading]]-CK126)*1200)&gt;0,(Input_Raw[[#This Row],[33 kV_Wind_F1_Import reading]]-CK126)*1200,0)</f>
        <v>0</v>
      </c>
      <c r="CT127" s="91">
        <f>IF(((Input_Raw[[#This Row],[33 kV_Wind_F2_Export_reading]]-CL126)*1200)&gt;0,(Input_Raw[[#This Row],[33 kV_Wind_F2_Export_reading]]-CL126)*1200,0)</f>
        <v>208800</v>
      </c>
      <c r="CU127" s="91">
        <f>IF(((Input_Raw[[#This Row],[33 kV_Wind_F2_Import_reading]]-CM126)*1200)&gt;0,(Input_Raw[[#This Row],[33 kV_Wind_F2_Import_reading]]-CM126)*1200,0)</f>
        <v>0</v>
      </c>
      <c r="CV127" s="91">
        <f>IF(((Input_Raw[[#This Row],[33 kV_Wind_F3_Export_Reading]]-CN126)*1200)&gt;0,(Input_Raw[[#This Row],[33 kV_Wind_F3_Export_Reading]]-CN126)*1200,0)</f>
        <v>252000</v>
      </c>
      <c r="CW127" s="91">
        <f>IF(((Input_Raw[[#This Row],[33 kV_Wind_F3_Import_Reading]]-CO126)*1200)&gt;0,(Input_Raw[[#This Row],[33 kV_Wind_F3_Import_Reading]]-CO126)*1200,0)</f>
        <v>0</v>
      </c>
      <c r="CX127" s="91">
        <f>IF(((Input_Raw[[#This Row],[33 kV_Wind_F4_Export Reading]]-CP126)*1200)&gt;0,(Input_Raw[[#This Row],[33 kV_Wind_F4_Export Reading]]-CP126)*1200,0)</f>
        <v>301200</v>
      </c>
      <c r="CY127" s="172"/>
      <c r="CZ127" s="172">
        <f>Input_Raw[[#This Row],[33 kV_F1_Total_Export (KWh)]]+Input_Raw[[#This Row],[33 kV_F2_Total_Export (KWh)2]]+Input_Raw[[#This Row],[33 kV_Wind_F3_Export (KWh)]]+Input_Raw[[#This Row],[33 kV_Wind_F4_Export (KWh)]]</f>
        <v>984000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3.5917277861206021E-3</v>
      </c>
      <c r="DC127" s="100">
        <v>96</v>
      </c>
      <c r="DD127" s="100">
        <v>500941</v>
      </c>
      <c r="DE127" s="102">
        <v>987.54</v>
      </c>
      <c r="DF127" s="99"/>
      <c r="DG127" s="101">
        <v>78</v>
      </c>
      <c r="DH127" s="168" t="s">
        <v>381</v>
      </c>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topRight" activeCell="AB39" sqref="AB39"/>
      <selection pane="bottomLeft" activeCell="AB39" sqref="AB39"/>
      <selection pane="bottomRight" activeCell="P1" sqref="P1"/>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f>IFERROR(_xlfn.XLOOKUP($A124,Input_Raw!$A:$A,Input_Raw!CG:CG),"")</f>
        <v>7.5105128205128198</v>
      </c>
      <c r="N124" s="109">
        <f>IFERROR(_xlfn.XLOOKUP($A124,Input_Raw!$A:$A,Input_Raw!CH:CH),"")</f>
        <v>0</v>
      </c>
      <c r="O124" s="121">
        <f t="shared" si="10"/>
        <v>0.9589849133971331</v>
      </c>
      <c r="P124" s="121">
        <f>IFERROR(1-SUMIF(WTG_BD!$F:$F,$A124,WTG_BD!$AA:$AA)/($AA124+SUMIF(WTG_BD!$F:$F,$A124,WTG_BD!$AA:$AA)),"")</f>
        <v>0.9589849133971331</v>
      </c>
      <c r="Q124" s="122">
        <f>IFERROR(1-SUMIF(IGA_BD!$F:$F,$A124,IGA_BD!$V:$V)/($AA124+SUMIF(IGA_BD!$F:$F,$A124,IGA_BD!$V:$V)),"")</f>
        <v>1</v>
      </c>
      <c r="R124" s="127">
        <f>IFERROR(1-SUMIF(Grid_BD!$F:$F,$A124,Grid_BD!$X:$X)/($AA124+SUMIF(Grid_BD!$F:$F,$A124,Grid_BD!$X:$X)),"")</f>
        <v>1</v>
      </c>
      <c r="S124" s="105"/>
      <c r="T124" s="122"/>
      <c r="U124" s="123"/>
      <c r="V124" s="105"/>
      <c r="W124" s="124">
        <f>IFERROR(Table13[[#This Row],[Mtr_Net_Exp (KWh)]]/(24*AR124*1000),"")</f>
        <v>0.52564102564102566</v>
      </c>
      <c r="X124" s="105">
        <f>IFERROR(_xlfn.XLOOKUP($A124,Input_Raw!$A:$A,Input_Raw!$CF:$CF),"")</f>
        <v>987547</v>
      </c>
      <c r="Y124" s="105">
        <f>IFERROR(_xlfn.XLOOKUP($A124,Input_Raw!$A:$A,Input_Raw!$CZ:$CZ),"")</f>
        <v>984000</v>
      </c>
      <c r="Z124" s="105">
        <f>IFERROR(_xlfn.XLOOKUP($A124,Input_Raw!$A:$A,Input_Raw!$DA:$DA),"")</f>
        <v>0</v>
      </c>
      <c r="AA124" s="107">
        <f t="shared" si="9"/>
        <v>984000</v>
      </c>
      <c r="AB124" s="105">
        <f>IFERROR(_xlfn.XLOOKUP($A124,Input_Raw!$A:$A,Input_Raw!$DG:$DG),"")</f>
        <v>78</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987.54</v>
      </c>
      <c r="AJ124" s="105"/>
      <c r="AK124" s="105"/>
      <c r="AL124" s="105"/>
      <c r="AM124" s="105"/>
      <c r="AN124" s="126">
        <f>IFERROR(_xlfn.XLOOKUP($A124,Input_Raw!$A:$A,Input_Raw!$DB:$DB),"")</f>
        <v>3.5917277861206021E-3</v>
      </c>
      <c r="AO124" s="124">
        <f>IFERROR((_xlfn.XLOOKUP($A124,'WTG Reactive Power'!$A:$A,'WTG Reactive Power'!$AR:$AR))/X124/1000,"")</f>
        <v>0</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29</v>
      </c>
      <c r="R53" s="139"/>
      <c r="S53" s="139"/>
      <c r="T53" s="138">
        <f t="shared" si="21"/>
        <v>585.79781940673683</v>
      </c>
      <c r="U53" s="139">
        <f t="shared" si="22"/>
        <v>16988.13676279537</v>
      </c>
      <c r="V53" s="139">
        <f>SUMIF($F$2:F53,F53,$U$2:U53)</f>
        <v>59563.091376742275</v>
      </c>
      <c r="W53" s="111">
        <f t="shared" si="14"/>
        <v>0.31292618558052182</v>
      </c>
      <c r="X53" s="111">
        <f t="shared" si="15"/>
        <v>0.31292618558052182</v>
      </c>
      <c r="Y53" s="111">
        <f t="shared" si="16"/>
        <v>0.26514908910586837</v>
      </c>
      <c r="Z53" s="138">
        <f>IFERROR(AVERAGEIF('Daily KPI'!D:D,Table14[[#This Row],[Month]],'Daily KPI'!AB:AB),"")</f>
        <v>72.967741935483872</v>
      </c>
      <c r="AA53" s="134">
        <f>IFERROR(AVERAGEIF($F$2:F53,F53,$Z$2:Z53),"")</f>
        <v>76.741935483870975</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59563.091376742275</v>
      </c>
      <c r="W54" s="111">
        <f t="shared" si="14"/>
        <v>0.3290671118921199</v>
      </c>
      <c r="X54" s="111" t="str">
        <f t="shared" si="15"/>
        <v/>
      </c>
      <c r="Y54" s="111">
        <f t="shared" si="16"/>
        <v>0.26514908910586837</v>
      </c>
      <c r="Z54" s="138">
        <f>IFERROR(AVERAGEIF('Daily KPI'!D:D,Table14[[#This Row],[Month]],'Daily KPI'!AB:AB),"")</f>
        <v>0</v>
      </c>
      <c r="AA54" s="134">
        <f>IFERROR(AVERAGEIF($F$2:F54,F54,$Z$2:Z54),"")</f>
        <v>61.393548387096779</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59563.091376742275</v>
      </c>
      <c r="W55" s="111">
        <f t="shared" si="14"/>
        <v>0.14932143895938593</v>
      </c>
      <c r="X55" s="111" t="str">
        <f t="shared" si="15"/>
        <v/>
      </c>
      <c r="Y55" s="111">
        <f t="shared" si="16"/>
        <v>0.26514908910586837</v>
      </c>
      <c r="Z55" s="138" t="str">
        <f>IFERROR(AVERAGEIF('Daily KPI'!D:D,Table14[[#This Row],[Month]],'Daily KPI'!AB:AB),"")</f>
        <v/>
      </c>
      <c r="AA55" s="134">
        <f>IFERROR(AVERAGEIF($F$2:F55,F55,$Z$2:Z55),"")</f>
        <v>61.393548387096779</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59563.091376742275</v>
      </c>
      <c r="W56" s="111">
        <f t="shared" si="14"/>
        <v>8.792620744576421E-2</v>
      </c>
      <c r="X56" s="111" t="str">
        <f t="shared" si="15"/>
        <v/>
      </c>
      <c r="Y56" s="111">
        <f t="shared" si="16"/>
        <v>0.26514908910586837</v>
      </c>
      <c r="Z56" s="138" t="str">
        <f>IFERROR(AVERAGEIF('Daily KPI'!D:D,Table14[[#This Row],[Month]],'Daily KPI'!AB:AB),"")</f>
        <v/>
      </c>
      <c r="AA56" s="134">
        <f>IFERROR(AVERAGEIF($F$2:F56,F56,$Z$2:Z56),"")</f>
        <v>61.393548387096779</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59563.091376742275</v>
      </c>
      <c r="W57" s="111">
        <f t="shared" si="14"/>
        <v>8.6832512342204377E-2</v>
      </c>
      <c r="X57" s="111" t="str">
        <f t="shared" si="15"/>
        <v/>
      </c>
      <c r="Y57" s="111">
        <f t="shared" si="16"/>
        <v>0.26514908910586837</v>
      </c>
      <c r="Z57" s="138" t="str">
        <f>IFERROR(AVERAGEIF('Daily KPI'!D:D,Table14[[#This Row],[Month]],'Daily KPI'!AB:AB),"")</f>
        <v/>
      </c>
      <c r="AA57" s="134">
        <f>IFERROR(AVERAGEIF($F$2:F57,F57,$Z$2:Z57),"")</f>
        <v>61.393548387096779</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59563.091376742275</v>
      </c>
      <c r="W58" s="111">
        <f t="shared" si="14"/>
        <v>9.8249152945422247E-2</v>
      </c>
      <c r="X58" s="111" t="str">
        <f t="shared" si="15"/>
        <v/>
      </c>
      <c r="Y58" s="111">
        <f t="shared" si="16"/>
        <v>0.26514908910586837</v>
      </c>
      <c r="Z58" s="138" t="str">
        <f>IFERROR(AVERAGEIF('Daily KPI'!D:D,Table14[[#This Row],[Month]],'Daily KPI'!AB:AB),"")</f>
        <v/>
      </c>
      <c r="AA58" s="134">
        <f>IFERROR(AVERAGEIF($F$2:F58,F58,$Z$2:Z58),"")</f>
        <v>61.393548387096779</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59563.091376742275</v>
      </c>
      <c r="W59" s="111">
        <f t="shared" si="14"/>
        <v>6.8425959399653721E-2</v>
      </c>
      <c r="X59" s="111" t="str">
        <f t="shared" si="15"/>
        <v/>
      </c>
      <c r="Y59" s="111">
        <f t="shared" si="16"/>
        <v>0.26514908910586837</v>
      </c>
      <c r="Z59" s="138" t="str">
        <f>IFERROR(AVERAGEIF('Daily KPI'!D:D,Table14[[#This Row],[Month]],'Daily KPI'!AB:AB),"")</f>
        <v/>
      </c>
      <c r="AA59" s="134">
        <f>IFERROR(AVERAGEIF($F$2:F59,F59,$Z$2:Z59),"")</f>
        <v>61.393548387096779</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59563.091376742275</v>
      </c>
      <c r="W60" s="111">
        <f t="shared" si="14"/>
        <v>9.1834188464722688E-2</v>
      </c>
      <c r="X60" s="111" t="str">
        <f t="shared" si="15"/>
        <v/>
      </c>
      <c r="Y60" s="111">
        <f t="shared" si="16"/>
        <v>0.26514908910586837</v>
      </c>
      <c r="Z60" s="138" t="str">
        <f>IFERROR(AVERAGEIF('Daily KPI'!D:D,Table14[[#This Row],[Month]],'Daily KPI'!AB:AB),"")</f>
        <v/>
      </c>
      <c r="AA60" s="134">
        <f>IFERROR(AVERAGEIF($F$2:F60,F60,$Z$2:Z60),"")</f>
        <v>61.393548387096779</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59563.091376742275</v>
      </c>
      <c r="W61" s="111">
        <f t="shared" si="14"/>
        <v>0.11813901253417405</v>
      </c>
      <c r="X61" s="111" t="str">
        <f t="shared" si="15"/>
        <v/>
      </c>
      <c r="Y61" s="111">
        <f t="shared" si="16"/>
        <v>0.26514908910586837</v>
      </c>
      <c r="Z61" s="138" t="str">
        <f>IFERROR(AVERAGEIF('Daily KPI'!D:D,Table14[[#This Row],[Month]],'Daily KPI'!AB:AB),"")</f>
        <v/>
      </c>
      <c r="AA61" s="134">
        <f>IFERROR(AVERAGEIF($F$2:F61,F61,$Z$2:Z61),"")</f>
        <v>61.393548387096779</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68"/>
  <sheetViews>
    <sheetView zoomScale="96" zoomScaleNormal="96" workbookViewId="0">
      <pane xSplit="7" ySplit="1" topLeftCell="V1056" activePane="bottomRight" state="frozen"/>
      <selection pane="topRight" activeCell="H1" sqref="H1"/>
      <selection pane="bottomLeft" activeCell="A2" sqref="A2"/>
      <selection pane="bottomRight" activeCell="AA1064" sqref="AA1064:AA1068"/>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ht="14.1" customHeight="1">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30">
      <c r="A961" s="105">
        <f t="shared" si="14"/>
        <v>960</v>
      </c>
      <c r="B961" s="371">
        <f>YEAR(Table6[[#This Row],[Date]])+IF(MONTH(Table6[[#This Row],[Date]])&gt;=4,1,0)</f>
        <v>2026</v>
      </c>
      <c r="C961" s="372">
        <f>YEAR(Table6[[#This Row],[Date]])</f>
        <v>2025</v>
      </c>
      <c r="D961" s="105" t="s">
        <v>490</v>
      </c>
      <c r="E961" s="119">
        <f>Table6[[#This Row],[Date]]-DAY(Table6[[#This Row],[Date]])+1</f>
        <v>45839</v>
      </c>
      <c r="F961" s="373">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75">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c r="AC961" s="105"/>
      <c r="AD961" s="105"/>
    </row>
    <row r="962" spans="1:30">
      <c r="A962" s="105">
        <f t="shared" si="14"/>
        <v>961</v>
      </c>
      <c r="B962" s="371">
        <f>YEAR(Table6[[#This Row],[Date]])+IF(MONTH(Table6[[#This Row],[Date]])&gt;=4,1,0)</f>
        <v>2026</v>
      </c>
      <c r="C962" s="372">
        <f>YEAR(Table6[[#This Row],[Date]])</f>
        <v>2025</v>
      </c>
      <c r="D962" s="105" t="s">
        <v>490</v>
      </c>
      <c r="E962" s="119">
        <f>Table6[[#This Row],[Date]]-DAY(Table6[[#This Row],[Date]])+1</f>
        <v>45839</v>
      </c>
      <c r="F962" s="373">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75">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c r="AC962" s="105"/>
      <c r="AD962" s="105"/>
    </row>
    <row r="963" spans="1:30">
      <c r="A963" s="105">
        <f t="shared" si="14"/>
        <v>962</v>
      </c>
      <c r="B963" s="371">
        <f>YEAR(Table6[[#This Row],[Date]])+IF(MONTH(Table6[[#This Row],[Date]])&gt;=4,1,0)</f>
        <v>2026</v>
      </c>
      <c r="C963" s="372">
        <f>YEAR(Table6[[#This Row],[Date]])</f>
        <v>2025</v>
      </c>
      <c r="D963" s="105" t="s">
        <v>490</v>
      </c>
      <c r="E963" s="119">
        <f>Table6[[#This Row],[Date]]-DAY(Table6[[#This Row],[Date]])+1</f>
        <v>45839</v>
      </c>
      <c r="F963" s="373">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75">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c r="AC963" s="105"/>
      <c r="AD963" s="105"/>
    </row>
    <row r="964" spans="1:30">
      <c r="A964" s="105">
        <f t="shared" si="14"/>
        <v>963</v>
      </c>
      <c r="B964" s="371">
        <f>YEAR(Table6[[#This Row],[Date]])+IF(MONTH(Table6[[#This Row],[Date]])&gt;=4,1,0)</f>
        <v>2026</v>
      </c>
      <c r="C964" s="372">
        <f>YEAR(Table6[[#This Row],[Date]])</f>
        <v>2025</v>
      </c>
      <c r="D964" s="105" t="s">
        <v>490</v>
      </c>
      <c r="E964" s="119">
        <f>Table6[[#This Row],[Date]]-DAY(Table6[[#This Row],[Date]])+1</f>
        <v>45839</v>
      </c>
      <c r="F964" s="373">
        <v>45850</v>
      </c>
      <c r="G964" s="374"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75">
        <f>Table6[[#This Row],[Breakdown Time]]*(1/39)</f>
        <v>6.7948717948717915E-2</v>
      </c>
      <c r="X964" s="336" t="s">
        <v>465</v>
      </c>
      <c r="Y964" s="352" t="s">
        <v>129</v>
      </c>
      <c r="Z964" s="105">
        <v>13125</v>
      </c>
      <c r="AA964" s="107">
        <f>IFERROR((Table6[[#This Row],[Paired WTG Generation for loss calculation]]/24)*Table6[[#This Row],[Breakdown Time]],"")</f>
        <v>1449.2187499999993</v>
      </c>
      <c r="AB964" s="107" t="s">
        <v>478</v>
      </c>
      <c r="AC964" s="105"/>
      <c r="AD964" s="105"/>
    </row>
    <row r="965" spans="1:30">
      <c r="A965" s="105">
        <f t="shared" ref="A965:A1028" si="15">A964+1</f>
        <v>964</v>
      </c>
      <c r="B965" s="371">
        <f>YEAR(Table6[[#This Row],[Date]])+IF(MONTH(Table6[[#This Row],[Date]])&gt;=4,1,0)</f>
        <v>2026</v>
      </c>
      <c r="C965" s="372">
        <f>YEAR(Table6[[#This Row],[Date]])</f>
        <v>2025</v>
      </c>
      <c r="D965" s="105" t="s">
        <v>490</v>
      </c>
      <c r="E965" s="119">
        <f>Table6[[#This Row],[Date]]-DAY(Table6[[#This Row],[Date]])+1</f>
        <v>45839</v>
      </c>
      <c r="F965" s="373">
        <v>45850</v>
      </c>
      <c r="G965" s="374"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75">
        <f>Table6[[#This Row],[Breakdown Time]]*(1/39)</f>
        <v>3.7179487179487186E-2</v>
      </c>
      <c r="X965" s="336" t="s">
        <v>465</v>
      </c>
      <c r="Y965" s="352" t="s">
        <v>143</v>
      </c>
      <c r="Z965" s="105">
        <v>10001</v>
      </c>
      <c r="AA965" s="107">
        <f>IFERROR((Table6[[#This Row],[Paired WTG Generation for loss calculation]]/24)*Table6[[#This Row],[Breakdown Time]],"")</f>
        <v>604.22708333333333</v>
      </c>
      <c r="AB965" s="107" t="s">
        <v>478</v>
      </c>
      <c r="AC965" s="105"/>
      <c r="AD965" s="105"/>
    </row>
    <row r="966" spans="1:30">
      <c r="A966" s="105">
        <f t="shared" si="15"/>
        <v>965</v>
      </c>
      <c r="B966" s="371">
        <f>YEAR(Table6[[#This Row],[Date]])+IF(MONTH(Table6[[#This Row],[Date]])&gt;=4,1,0)</f>
        <v>2026</v>
      </c>
      <c r="C966" s="372">
        <f>YEAR(Table6[[#This Row],[Date]])</f>
        <v>2025</v>
      </c>
      <c r="D966" s="105" t="s">
        <v>490</v>
      </c>
      <c r="E966" s="119">
        <f>Table6[[#This Row],[Date]]-DAY(Table6[[#This Row],[Date]])+1</f>
        <v>45839</v>
      </c>
      <c r="F966" s="373">
        <v>45850</v>
      </c>
      <c r="G966" s="374"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75">
        <f>Table6[[#This Row],[Breakdown Time]]*(1/39)</f>
        <v>7.0085470085470072E-2</v>
      </c>
      <c r="X966" s="336" t="s">
        <v>465</v>
      </c>
      <c r="Y966" s="352" t="s">
        <v>139</v>
      </c>
      <c r="Z966" s="105">
        <v>8688</v>
      </c>
      <c r="AA966" s="107">
        <f>IFERROR((Table6[[#This Row],[Paired WTG Generation for loss calculation]]/24)*Table6[[#This Row],[Breakdown Time]],"")</f>
        <v>989.46666666666658</v>
      </c>
      <c r="AB966" s="107" t="s">
        <v>478</v>
      </c>
      <c r="AC966" s="105"/>
      <c r="AD966" s="105"/>
    </row>
    <row r="967" spans="1:30">
      <c r="A967" s="105">
        <f t="shared" si="15"/>
        <v>966</v>
      </c>
      <c r="B967" s="371">
        <f>YEAR(Table6[[#This Row],[Date]])+IF(MONTH(Table6[[#This Row],[Date]])&gt;=4,1,0)</f>
        <v>2026</v>
      </c>
      <c r="C967" s="372">
        <f>YEAR(Table6[[#This Row],[Date]])</f>
        <v>2025</v>
      </c>
      <c r="D967" s="105" t="s">
        <v>490</v>
      </c>
      <c r="E967" s="119">
        <f>Table6[[#This Row],[Date]]-DAY(Table6[[#This Row],[Date]])+1</f>
        <v>45839</v>
      </c>
      <c r="F967" s="373">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75">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c r="AC967" s="105"/>
      <c r="AD967" s="105"/>
    </row>
    <row r="968" spans="1:30">
      <c r="A968" s="105">
        <f t="shared" si="15"/>
        <v>967</v>
      </c>
      <c r="B968" s="371">
        <f>YEAR(Table6[[#This Row],[Date]])+IF(MONTH(Table6[[#This Row],[Date]])&gt;=4,1,0)</f>
        <v>2026</v>
      </c>
      <c r="C968" s="372">
        <f>YEAR(Table6[[#This Row],[Date]])</f>
        <v>2025</v>
      </c>
      <c r="D968" s="105" t="s">
        <v>490</v>
      </c>
      <c r="E968" s="119">
        <f>Table6[[#This Row],[Date]]-DAY(Table6[[#This Row],[Date]])+1</f>
        <v>45839</v>
      </c>
      <c r="F968" s="373">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75">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c r="AC968" s="105"/>
      <c r="AD968" s="105"/>
    </row>
    <row r="969" spans="1:30">
      <c r="A969" s="105">
        <f t="shared" si="15"/>
        <v>968</v>
      </c>
      <c r="B969" s="371">
        <f>YEAR(Table6[[#This Row],[Date]])+IF(MONTH(Table6[[#This Row],[Date]])&gt;=4,1,0)</f>
        <v>2026</v>
      </c>
      <c r="C969" s="372">
        <f>YEAR(Table6[[#This Row],[Date]])</f>
        <v>2025</v>
      </c>
      <c r="D969" s="105" t="s">
        <v>490</v>
      </c>
      <c r="E969" s="119">
        <f>Table6[[#This Row],[Date]]-DAY(Table6[[#This Row],[Date]])+1</f>
        <v>45839</v>
      </c>
      <c r="F969" s="373">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75">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c r="AC969" s="105"/>
      <c r="AD969" s="105"/>
    </row>
    <row r="970" spans="1:30">
      <c r="A970" s="105">
        <f t="shared" si="15"/>
        <v>969</v>
      </c>
      <c r="B970" s="371">
        <f>YEAR(Table6[[#This Row],[Date]])+IF(MONTH(Table6[[#This Row],[Date]])&gt;=4,1,0)</f>
        <v>2026</v>
      </c>
      <c r="C970" s="372">
        <f>YEAR(Table6[[#This Row],[Date]])</f>
        <v>2025</v>
      </c>
      <c r="D970" s="105" t="s">
        <v>490</v>
      </c>
      <c r="E970" s="119">
        <f>Table6[[#This Row],[Date]]-DAY(Table6[[#This Row],[Date]])+1</f>
        <v>45839</v>
      </c>
      <c r="F970" s="373">
        <v>45851</v>
      </c>
      <c r="G970" s="374"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75">
        <f>Table6[[#This Row],[Breakdown Time]]*(1/39)</f>
        <v>3.8461538461538464E-2</v>
      </c>
      <c r="X970" s="336" t="s">
        <v>465</v>
      </c>
      <c r="Y970" s="352" t="s">
        <v>124</v>
      </c>
      <c r="Z970" s="105">
        <v>14266</v>
      </c>
      <c r="AA970" s="107">
        <f>IFERROR((Table6[[#This Row],[Paired WTG Generation for loss calculation]]/24)*Table6[[#This Row],[Breakdown Time]],"")</f>
        <v>891.625</v>
      </c>
      <c r="AB970" s="107" t="s">
        <v>478</v>
      </c>
      <c r="AC970" s="105"/>
      <c r="AD970" s="105"/>
    </row>
    <row r="971" spans="1:30">
      <c r="A971" s="105">
        <f t="shared" si="15"/>
        <v>970</v>
      </c>
      <c r="B971" s="371">
        <f>YEAR(Table6[[#This Row],[Date]])+IF(MONTH(Table6[[#This Row],[Date]])&gt;=4,1,0)</f>
        <v>2026</v>
      </c>
      <c r="C971" s="372">
        <f>YEAR(Table6[[#This Row],[Date]])</f>
        <v>2025</v>
      </c>
      <c r="D971" s="105" t="s">
        <v>490</v>
      </c>
      <c r="E971" s="119">
        <f>Table6[[#This Row],[Date]]-DAY(Table6[[#This Row],[Date]])+1</f>
        <v>45839</v>
      </c>
      <c r="F971" s="373">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75">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c r="AC971" s="105"/>
      <c r="AD971" s="105"/>
    </row>
    <row r="972" spans="1:30">
      <c r="A972" s="105">
        <f t="shared" si="15"/>
        <v>971</v>
      </c>
      <c r="B972" s="371">
        <f>YEAR(Table6[[#This Row],[Date]])+IF(MONTH(Table6[[#This Row],[Date]])&gt;=4,1,0)</f>
        <v>2026</v>
      </c>
      <c r="C972" s="372">
        <f>YEAR(Table6[[#This Row],[Date]])</f>
        <v>2025</v>
      </c>
      <c r="D972" s="105" t="s">
        <v>490</v>
      </c>
      <c r="E972" s="119">
        <f>Table6[[#This Row],[Date]]-DAY(Table6[[#This Row],[Date]])+1</f>
        <v>45839</v>
      </c>
      <c r="F972" s="373">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75">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c r="AC972" s="105"/>
      <c r="AD972" s="105"/>
    </row>
    <row r="973" spans="1:30">
      <c r="A973" s="105">
        <f t="shared" si="15"/>
        <v>972</v>
      </c>
      <c r="B973" s="371">
        <f>YEAR(Table6[[#This Row],[Date]])+IF(MONTH(Table6[[#This Row],[Date]])&gt;=4,1,0)</f>
        <v>2026</v>
      </c>
      <c r="C973" s="372">
        <f>YEAR(Table6[[#This Row],[Date]])</f>
        <v>2025</v>
      </c>
      <c r="D973" s="105" t="s">
        <v>490</v>
      </c>
      <c r="E973" s="119">
        <f>Table6[[#This Row],[Date]]-DAY(Table6[[#This Row],[Date]])+1</f>
        <v>45839</v>
      </c>
      <c r="F973" s="373">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75">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c r="AC973" s="105"/>
      <c r="AD973" s="105"/>
    </row>
    <row r="974" spans="1:30">
      <c r="A974" s="105">
        <f t="shared" si="15"/>
        <v>973</v>
      </c>
      <c r="B974" s="371">
        <f>YEAR(Table6[[#This Row],[Date]])+IF(MONTH(Table6[[#This Row],[Date]])&gt;=4,1,0)</f>
        <v>2026</v>
      </c>
      <c r="C974" s="372">
        <f>YEAR(Table6[[#This Row],[Date]])</f>
        <v>2025</v>
      </c>
      <c r="D974" s="105" t="s">
        <v>490</v>
      </c>
      <c r="E974" s="119">
        <f>Table6[[#This Row],[Date]]-DAY(Table6[[#This Row],[Date]])+1</f>
        <v>45839</v>
      </c>
      <c r="F974" s="373">
        <v>45852</v>
      </c>
      <c r="G974" s="374"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78"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75">
        <f>Table6[[#This Row],[Breakdown Time]]*(1/39)</f>
        <v>1.4529914529914546E-2</v>
      </c>
      <c r="X974" s="336" t="s">
        <v>465</v>
      </c>
      <c r="Y974" s="352" t="s">
        <v>121</v>
      </c>
      <c r="Z974" s="105">
        <v>20987</v>
      </c>
      <c r="AA974" s="107">
        <f>IFERROR((Table6[[#This Row],[Paired WTG Generation for loss calculation]]/24)*Table6[[#This Row],[Breakdown Time]],"")</f>
        <v>495.52638888888947</v>
      </c>
      <c r="AB974" s="107" t="s">
        <v>478</v>
      </c>
      <c r="AC974" s="105"/>
      <c r="AD974" s="105"/>
    </row>
    <row r="975" spans="1:30">
      <c r="A975" s="105">
        <f t="shared" si="15"/>
        <v>974</v>
      </c>
      <c r="B975" s="371">
        <f>YEAR(Table6[[#This Row],[Date]])+IF(MONTH(Table6[[#This Row],[Date]])&gt;=4,1,0)</f>
        <v>2026</v>
      </c>
      <c r="C975" s="372">
        <f>YEAR(Table6[[#This Row],[Date]])</f>
        <v>2025</v>
      </c>
      <c r="D975" s="105" t="s">
        <v>490</v>
      </c>
      <c r="E975" s="119">
        <f>Table6[[#This Row],[Date]]-DAY(Table6[[#This Row],[Date]])+1</f>
        <v>45839</v>
      </c>
      <c r="F975" s="373">
        <v>45852</v>
      </c>
      <c r="G975" s="374"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78"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75">
        <f>Table6[[#This Row],[Breakdown Time]]*(1/39)</f>
        <v>4.9572649572649563E-2</v>
      </c>
      <c r="X975" s="336" t="s">
        <v>465</v>
      </c>
      <c r="Y975" s="352" t="s">
        <v>117</v>
      </c>
      <c r="Z975" s="105">
        <v>20981</v>
      </c>
      <c r="AA975" s="107">
        <f>IFERROR((Table6[[#This Row],[Paired WTG Generation for loss calculation]]/24)*Table6[[#This Row],[Breakdown Time]],"")</f>
        <v>1690.1361111111109</v>
      </c>
      <c r="AB975" s="107" t="s">
        <v>478</v>
      </c>
      <c r="AC975" s="105"/>
      <c r="AD975" s="105"/>
    </row>
    <row r="976" spans="1:30">
      <c r="A976" s="105">
        <f t="shared" si="15"/>
        <v>975</v>
      </c>
      <c r="B976" s="371">
        <f>YEAR(Table6[[#This Row],[Date]])+IF(MONTH(Table6[[#This Row],[Date]])&gt;=4,1,0)</f>
        <v>2026</v>
      </c>
      <c r="C976" s="372">
        <f>YEAR(Table6[[#This Row],[Date]])</f>
        <v>2025</v>
      </c>
      <c r="D976" s="105" t="s">
        <v>490</v>
      </c>
      <c r="E976" s="119">
        <f>Table6[[#This Row],[Date]]-DAY(Table6[[#This Row],[Date]])+1</f>
        <v>45839</v>
      </c>
      <c r="F976" s="373">
        <v>45852</v>
      </c>
      <c r="G976" s="374"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78"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75">
        <f>Table6[[#This Row],[Breakdown Time]]*(1/39)</f>
        <v>3.2051282051282007E-2</v>
      </c>
      <c r="X976" s="336" t="s">
        <v>465</v>
      </c>
      <c r="Y976" s="352" t="s">
        <v>117</v>
      </c>
      <c r="Z976" s="105">
        <v>20981</v>
      </c>
      <c r="AA976" s="107">
        <f>IFERROR((Table6[[#This Row],[Paired WTG Generation for loss calculation]]/24)*Table6[[#This Row],[Breakdown Time]],"")</f>
        <v>1092.7604166666652</v>
      </c>
      <c r="AB976" s="107" t="s">
        <v>478</v>
      </c>
      <c r="AC976" s="105"/>
      <c r="AD976" s="105"/>
    </row>
    <row r="977" spans="1:30">
      <c r="A977" s="105">
        <f t="shared" si="15"/>
        <v>976</v>
      </c>
      <c r="B977" s="371">
        <f>YEAR(Table6[[#This Row],[Date]])+IF(MONTH(Table6[[#This Row],[Date]])&gt;=4,1,0)</f>
        <v>2026</v>
      </c>
      <c r="C977" s="372">
        <f>YEAR(Table6[[#This Row],[Date]])</f>
        <v>2025</v>
      </c>
      <c r="D977" s="105" t="s">
        <v>490</v>
      </c>
      <c r="E977" s="119">
        <f>Table6[[#This Row],[Date]]-DAY(Table6[[#This Row],[Date]])+1</f>
        <v>45839</v>
      </c>
      <c r="F977" s="373">
        <v>45852</v>
      </c>
      <c r="G977" s="374"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78"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75">
        <f>Table6[[#This Row],[Breakdown Time]]*(1/39)</f>
        <v>5.9829059829059955E-3</v>
      </c>
      <c r="X977" s="336" t="s">
        <v>465</v>
      </c>
      <c r="Y977" s="352" t="s">
        <v>123</v>
      </c>
      <c r="Z977" s="105">
        <v>22625</v>
      </c>
      <c r="AA977" s="107">
        <f>IFERROR((Table6[[#This Row],[Paired WTG Generation for loss calculation]]/24)*Table6[[#This Row],[Breakdown Time]],"")</f>
        <v>219.96527777777825</v>
      </c>
      <c r="AB977" s="107" t="s">
        <v>478</v>
      </c>
      <c r="AC977" s="105"/>
      <c r="AD977" s="105"/>
    </row>
    <row r="978" spans="1:30">
      <c r="A978" s="105">
        <f t="shared" si="15"/>
        <v>977</v>
      </c>
      <c r="B978" s="371">
        <f>YEAR(Table6[[#This Row],[Date]])+IF(MONTH(Table6[[#This Row],[Date]])&gt;=4,1,0)</f>
        <v>2026</v>
      </c>
      <c r="C978" s="372">
        <f>YEAR(Table6[[#This Row],[Date]])</f>
        <v>2025</v>
      </c>
      <c r="D978" s="105" t="s">
        <v>490</v>
      </c>
      <c r="E978" s="119">
        <f>Table6[[#This Row],[Date]]-DAY(Table6[[#This Row],[Date]])+1</f>
        <v>45839</v>
      </c>
      <c r="F978" s="373">
        <v>45852</v>
      </c>
      <c r="G978" s="374"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78" t="s">
        <v>1270</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46" t="s">
        <v>463</v>
      </c>
      <c r="W978" s="377">
        <f>Table6[[#This Row],[Breakdown Time]]*(1/39)</f>
        <v>6.837606837606881E-3</v>
      </c>
      <c r="X978" s="336" t="s">
        <v>465</v>
      </c>
      <c r="Y978" s="346" t="s">
        <v>123</v>
      </c>
      <c r="Z978" s="105">
        <v>22625</v>
      </c>
      <c r="AA978" s="107">
        <f>IFERROR((Table6[[#This Row],[Paired WTG Generation for loss calculation]]/24)*Table6[[#This Row],[Breakdown Time]],"")</f>
        <v>251.38888888889051</v>
      </c>
      <c r="AB978" s="107" t="s">
        <v>478</v>
      </c>
      <c r="AC978" s="105"/>
      <c r="AD978" s="105"/>
    </row>
    <row r="979" spans="1:30">
      <c r="A979" s="105">
        <f t="shared" si="15"/>
        <v>978</v>
      </c>
      <c r="B979" s="371">
        <f>YEAR(Table6[[#This Row],[Date]])+IF(MONTH(Table6[[#This Row],[Date]])&gt;=4,1,0)</f>
        <v>2026</v>
      </c>
      <c r="C979" s="372">
        <f>YEAR(Table6[[#This Row],[Date]])</f>
        <v>2025</v>
      </c>
      <c r="D979" s="105" t="s">
        <v>490</v>
      </c>
      <c r="E979" s="119">
        <f>Table6[[#This Row],[Date]]-DAY(Table6[[#This Row],[Date]])+1</f>
        <v>45839</v>
      </c>
      <c r="F979" s="373">
        <v>45852</v>
      </c>
      <c r="G979" s="374"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78" t="s">
        <v>1270</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46" t="s">
        <v>463</v>
      </c>
      <c r="W979" s="377">
        <f>Table6[[#This Row],[Breakdown Time]]*(1/39)</f>
        <v>3.7179487179487186E-2</v>
      </c>
      <c r="X979" s="336" t="s">
        <v>465</v>
      </c>
      <c r="Y979" s="346" t="s">
        <v>133</v>
      </c>
      <c r="Z979" s="105">
        <v>22647</v>
      </c>
      <c r="AA979" s="107">
        <f>IFERROR((Table6[[#This Row],[Paired WTG Generation for loss calculation]]/24)*Table6[[#This Row],[Breakdown Time]],"")</f>
        <v>1368.2562500000001</v>
      </c>
      <c r="AB979" s="107" t="s">
        <v>478</v>
      </c>
      <c r="AC979" s="105"/>
      <c r="AD979" s="105"/>
    </row>
    <row r="980" spans="1:30">
      <c r="A980" s="105">
        <f t="shared" si="15"/>
        <v>979</v>
      </c>
      <c r="B980" s="371">
        <f>YEAR(Table6[[#This Row],[Date]])+IF(MONTH(Table6[[#This Row],[Date]])&gt;=4,1,0)</f>
        <v>2026</v>
      </c>
      <c r="C980" s="372">
        <f>YEAR(Table6[[#This Row],[Date]])</f>
        <v>2025</v>
      </c>
      <c r="D980" s="105" t="s">
        <v>490</v>
      </c>
      <c r="E980" s="119">
        <f>Table6[[#This Row],[Date]]-DAY(Table6[[#This Row],[Date]])+1</f>
        <v>45839</v>
      </c>
      <c r="F980" s="373">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77">
        <f>Table6[[#This Row],[Breakdown Time]]*(1/39)</f>
        <v>0.61537749287749288</v>
      </c>
      <c r="X980" s="336" t="s">
        <v>465</v>
      </c>
      <c r="Y980" s="352" t="s">
        <v>143</v>
      </c>
      <c r="Z980" s="15">
        <v>8789</v>
      </c>
      <c r="AA980" s="107">
        <f>IFERROR((Table6[[#This Row],[Paired WTG Generation for loss calculation]]/24)*Table6[[#This Row],[Breakdown Time]],"")</f>
        <v>8788.8982754629633</v>
      </c>
      <c r="AB980" s="105" t="s">
        <v>1347</v>
      </c>
      <c r="AC980" s="105"/>
      <c r="AD980" s="105"/>
    </row>
    <row r="981" spans="1:30">
      <c r="A981" s="105">
        <f t="shared" si="15"/>
        <v>980</v>
      </c>
      <c r="B981" s="371">
        <f>YEAR(Table6[[#This Row],[Date]])+IF(MONTH(Table6[[#This Row],[Date]])&gt;=4,1,0)</f>
        <v>2026</v>
      </c>
      <c r="C981" s="372">
        <f>YEAR(Table6[[#This Row],[Date]])</f>
        <v>2025</v>
      </c>
      <c r="D981" s="105" t="s">
        <v>490</v>
      </c>
      <c r="E981" s="119">
        <f>Table6[[#This Row],[Date]]-DAY(Table6[[#This Row],[Date]])+1</f>
        <v>45839</v>
      </c>
      <c r="F981" s="373">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77">
        <f>Table6[[#This Row],[Breakdown Time]]*(1/39)</f>
        <v>0.61537749287749288</v>
      </c>
      <c r="X981" s="336" t="s">
        <v>1212</v>
      </c>
      <c r="Y981" s="352" t="s">
        <v>143</v>
      </c>
      <c r="Z981" s="15">
        <v>8789</v>
      </c>
      <c r="AA981" s="107">
        <f>IFERROR((Table6[[#This Row],[Paired WTG Generation for loss calculation]]/24)*Table6[[#This Row],[Breakdown Time]],"")</f>
        <v>8788.8982754629633</v>
      </c>
      <c r="AB981" s="105" t="s">
        <v>478</v>
      </c>
      <c r="AC981" s="105"/>
      <c r="AD981" s="105"/>
    </row>
    <row r="982" spans="1:30">
      <c r="A982" s="105">
        <f t="shared" si="15"/>
        <v>981</v>
      </c>
      <c r="B982" s="371">
        <f>YEAR(Table6[[#This Row],[Date]])+IF(MONTH(Table6[[#This Row],[Date]])&gt;=4,1,0)</f>
        <v>2026</v>
      </c>
      <c r="C982" s="372">
        <f>YEAR(Table6[[#This Row],[Date]])</f>
        <v>2025</v>
      </c>
      <c r="D982" s="105" t="s">
        <v>490</v>
      </c>
      <c r="E982" s="119">
        <f>Table6[[#This Row],[Date]]-DAY(Table6[[#This Row],[Date]])+1</f>
        <v>45839</v>
      </c>
      <c r="F982" s="373">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77">
        <f>Table6[[#This Row],[Breakdown Time]]*(1/39)</f>
        <v>0.61537749287749288</v>
      </c>
      <c r="X982" s="336" t="s">
        <v>465</v>
      </c>
      <c r="Y982" s="352" t="s">
        <v>130</v>
      </c>
      <c r="Z982" s="15">
        <v>12435</v>
      </c>
      <c r="AA982" s="107">
        <f>IFERROR((Table6[[#This Row],[Paired WTG Generation for loss calculation]]/24)*Table6[[#This Row],[Breakdown Time]],"")</f>
        <v>12434.856076388891</v>
      </c>
      <c r="AB982" s="105" t="s">
        <v>1353</v>
      </c>
      <c r="AC982" s="105"/>
      <c r="AD982" s="105"/>
    </row>
    <row r="983" spans="1:30">
      <c r="A983" s="105">
        <f t="shared" si="15"/>
        <v>982</v>
      </c>
      <c r="B983" s="371">
        <f>YEAR(Table6[[#This Row],[Date]])+IF(MONTH(Table6[[#This Row],[Date]])&gt;=4,1,0)</f>
        <v>2026</v>
      </c>
      <c r="C983" s="372">
        <f>YEAR(Table6[[#This Row],[Date]])</f>
        <v>2025</v>
      </c>
      <c r="D983" s="105" t="s">
        <v>490</v>
      </c>
      <c r="E983" s="119">
        <f>Table6[[#This Row],[Date]]-DAY(Table6[[#This Row],[Date]])+1</f>
        <v>45839</v>
      </c>
      <c r="F983" s="373">
        <v>45853</v>
      </c>
      <c r="G983" s="374"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46" t="s">
        <v>463</v>
      </c>
      <c r="W983" s="377">
        <f>Table6[[#This Row],[Breakdown Time]]*(1/39)</f>
        <v>9.3162393162393164E-2</v>
      </c>
      <c r="X983" s="336" t="s">
        <v>465</v>
      </c>
      <c r="Y983" s="346" t="s">
        <v>147</v>
      </c>
      <c r="Z983" s="15">
        <v>8259</v>
      </c>
      <c r="AA983" s="107">
        <f>IFERROR((Table6[[#This Row],[Paired WTG Generation for loss calculation]]/24)*Table6[[#This Row],[Breakdown Time]],"")</f>
        <v>1250.3208333333334</v>
      </c>
      <c r="AB983" s="107" t="s">
        <v>478</v>
      </c>
      <c r="AC983" s="105"/>
      <c r="AD983" s="105"/>
    </row>
    <row r="984" spans="1:30">
      <c r="A984" s="105">
        <f t="shared" si="15"/>
        <v>983</v>
      </c>
      <c r="B984" s="371">
        <f>YEAR(Table6[[#This Row],[Date]])+IF(MONTH(Table6[[#This Row],[Date]])&gt;=4,1,0)</f>
        <v>2026</v>
      </c>
      <c r="C984" s="372">
        <f>YEAR(Table6[[#This Row],[Date]])</f>
        <v>2025</v>
      </c>
      <c r="D984" s="105" t="s">
        <v>490</v>
      </c>
      <c r="E984" s="119">
        <f>Table6[[#This Row],[Date]]-DAY(Table6[[#This Row],[Date]])+1</f>
        <v>45839</v>
      </c>
      <c r="F984" s="373">
        <v>45853</v>
      </c>
      <c r="G984" s="374"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46" t="s">
        <v>463</v>
      </c>
      <c r="W984" s="377">
        <f>Table6[[#This Row],[Breakdown Time]]*(1/39)</f>
        <v>5.8974358974358966E-2</v>
      </c>
      <c r="X984" s="336" t="s">
        <v>465</v>
      </c>
      <c r="Y984" s="346" t="s">
        <v>139</v>
      </c>
      <c r="Z984" s="15">
        <v>8260</v>
      </c>
      <c r="AA984" s="107">
        <f>IFERROR((Table6[[#This Row],[Paired WTG Generation for loss calculation]]/24)*Table6[[#This Row],[Breakdown Time]],"")</f>
        <v>791.58333333333337</v>
      </c>
      <c r="AB984" s="107" t="s">
        <v>478</v>
      </c>
      <c r="AC984" s="105"/>
      <c r="AD984" s="105"/>
    </row>
    <row r="985" spans="1:30">
      <c r="A985" s="105">
        <f t="shared" si="15"/>
        <v>984</v>
      </c>
      <c r="B985" s="371">
        <f>YEAR(Table6[[#This Row],[Date]])+IF(MONTH(Table6[[#This Row],[Date]])&gt;=4,1,0)</f>
        <v>2026</v>
      </c>
      <c r="C985" s="372">
        <f>YEAR(Table6[[#This Row],[Date]])</f>
        <v>2025</v>
      </c>
      <c r="D985" s="105" t="s">
        <v>490</v>
      </c>
      <c r="E985" s="119">
        <f>Table6[[#This Row],[Date]]-DAY(Table6[[#This Row],[Date]])+1</f>
        <v>45839</v>
      </c>
      <c r="F985" s="373">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105"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77">
        <f>Table6[[#This Row],[Breakdown Time]]*(1/39)</f>
        <v>0.61537749287749288</v>
      </c>
      <c r="X985" s="336" t="s">
        <v>465</v>
      </c>
      <c r="Y985" s="352" t="s">
        <v>143</v>
      </c>
      <c r="Z985" s="380">
        <v>3759</v>
      </c>
      <c r="AA985" s="107">
        <f>IFERROR((Table6[[#This Row],[Paired WTG Generation for loss calculation]]/24)*Table6[[#This Row],[Breakdown Time]],"")</f>
        <v>3758.9564930555562</v>
      </c>
      <c r="AB985" s="105" t="s">
        <v>1381</v>
      </c>
      <c r="AC985" s="105"/>
      <c r="AD985" s="105"/>
    </row>
    <row r="986" spans="1:30">
      <c r="A986" s="105">
        <f t="shared" si="15"/>
        <v>985</v>
      </c>
      <c r="B986" s="371">
        <f>YEAR(Table6[[#This Row],[Date]])+IF(MONTH(Table6[[#This Row],[Date]])&gt;=4,1,0)</f>
        <v>2026</v>
      </c>
      <c r="C986" s="372">
        <f>YEAR(Table6[[#This Row],[Date]])</f>
        <v>2025</v>
      </c>
      <c r="D986" s="105" t="s">
        <v>490</v>
      </c>
      <c r="E986" s="119">
        <f>Table6[[#This Row],[Date]]-DAY(Table6[[#This Row],[Date]])+1</f>
        <v>45839</v>
      </c>
      <c r="F986" s="373">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105"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77">
        <f>Table6[[#This Row],[Breakdown Time]]*(1/39)</f>
        <v>0.61537749287749288</v>
      </c>
      <c r="X986" s="336" t="s">
        <v>1212</v>
      </c>
      <c r="Y986" s="352" t="s">
        <v>143</v>
      </c>
      <c r="Z986" s="380">
        <v>3759</v>
      </c>
      <c r="AA986" s="107">
        <f>IFERROR((Table6[[#This Row],[Paired WTG Generation for loss calculation]]/24)*Table6[[#This Row],[Breakdown Time]],"")</f>
        <v>3758.9564930555562</v>
      </c>
      <c r="AB986" s="105" t="s">
        <v>478</v>
      </c>
      <c r="AC986" s="105"/>
      <c r="AD986" s="105"/>
    </row>
    <row r="987" spans="1:30">
      <c r="A987" s="105">
        <f t="shared" si="15"/>
        <v>986</v>
      </c>
      <c r="B987" s="371">
        <f>YEAR(Table6[[#This Row],[Date]])+IF(MONTH(Table6[[#This Row],[Date]])&gt;=4,1,0)</f>
        <v>2026</v>
      </c>
      <c r="C987" s="372">
        <f>YEAR(Table6[[#This Row],[Date]])</f>
        <v>2025</v>
      </c>
      <c r="D987" s="105" t="s">
        <v>490</v>
      </c>
      <c r="E987" s="119">
        <f>Table6[[#This Row],[Date]]-DAY(Table6[[#This Row],[Date]])+1</f>
        <v>45839</v>
      </c>
      <c r="F987" s="373">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105" t="s">
        <v>1270</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46" t="s">
        <v>463</v>
      </c>
      <c r="W987" s="377">
        <f>Table6[[#This Row],[Breakdown Time]]*(1/39)</f>
        <v>0.49230769230769239</v>
      </c>
      <c r="X987" s="336" t="s">
        <v>465</v>
      </c>
      <c r="Y987" s="352" t="s">
        <v>130</v>
      </c>
      <c r="Z987" s="15">
        <v>3456</v>
      </c>
      <c r="AA987" s="107">
        <f>IFERROR((Table6[[#This Row],[Paired WTG Generation for loss calculation]]/24)*Table6[[#This Row],[Breakdown Time]],"")</f>
        <v>2764.8</v>
      </c>
      <c r="AB987" s="107" t="s">
        <v>478</v>
      </c>
      <c r="AC987" s="105"/>
      <c r="AD987" s="105"/>
    </row>
    <row r="988" spans="1:30">
      <c r="A988" s="105">
        <f t="shared" si="15"/>
        <v>987</v>
      </c>
      <c r="B988" s="371">
        <f>YEAR(Table6[[#This Row],[Date]])+IF(MONTH(Table6[[#This Row],[Date]])&gt;=4,1,0)</f>
        <v>2026</v>
      </c>
      <c r="C988" s="372">
        <f>YEAR(Table6[[#This Row],[Date]])</f>
        <v>2025</v>
      </c>
      <c r="D988" s="105" t="s">
        <v>490</v>
      </c>
      <c r="E988" s="119">
        <f>Table6[[#This Row],[Date]]-DAY(Table6[[#This Row],[Date]])+1</f>
        <v>45839</v>
      </c>
      <c r="F988" s="373">
        <v>45854</v>
      </c>
      <c r="G988" s="374"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105" t="s">
        <v>230</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46" t="s">
        <v>463</v>
      </c>
      <c r="W988" s="377">
        <f>Table6[[#This Row],[Breakdown Time]]*(1/39)</f>
        <v>7.6068376068376076E-2</v>
      </c>
      <c r="X988" s="336" t="s">
        <v>465</v>
      </c>
      <c r="Y988" s="346" t="s">
        <v>130</v>
      </c>
      <c r="Z988" s="15">
        <v>3456</v>
      </c>
      <c r="AA988" s="107">
        <f>IFERROR((Table6[[#This Row],[Paired WTG Generation for loss calculation]]/24)*Table6[[#This Row],[Breakdown Time]],"")</f>
        <v>427.20000000000005</v>
      </c>
      <c r="AB988" s="107" t="s">
        <v>478</v>
      </c>
      <c r="AC988" s="105"/>
      <c r="AD988" s="105"/>
    </row>
    <row r="989" spans="1:30">
      <c r="A989" s="105">
        <f t="shared" si="15"/>
        <v>988</v>
      </c>
      <c r="B989" s="371">
        <f>YEAR(Table6[[#This Row],[Date]])+IF(MONTH(Table6[[#This Row],[Date]])&gt;=4,1,0)</f>
        <v>2026</v>
      </c>
      <c r="C989" s="372">
        <f>YEAR(Table6[[#This Row],[Date]])</f>
        <v>2025</v>
      </c>
      <c r="D989" s="105" t="s">
        <v>490</v>
      </c>
      <c r="E989" s="119">
        <f>Table6[[#This Row],[Date]]-DAY(Table6[[#This Row],[Date]])+1</f>
        <v>45839</v>
      </c>
      <c r="F989" s="373">
        <v>45854</v>
      </c>
      <c r="G989" s="374"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105" t="s">
        <v>230</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46" t="s">
        <v>463</v>
      </c>
      <c r="W989" s="377">
        <f>Table6[[#This Row],[Breakdown Time]]*(1/39)</f>
        <v>6.3675213675213685E-2</v>
      </c>
      <c r="X989" s="336" t="s">
        <v>465</v>
      </c>
      <c r="Y989" s="346" t="s">
        <v>147</v>
      </c>
      <c r="Z989" s="380">
        <v>3038</v>
      </c>
      <c r="AA989" s="107">
        <f>IFERROR((Table6[[#This Row],[Paired WTG Generation for loss calculation]]/24)*Table6[[#This Row],[Breakdown Time]],"")</f>
        <v>314.34861111111115</v>
      </c>
      <c r="AB989" s="107" t="s">
        <v>478</v>
      </c>
      <c r="AC989" s="105"/>
      <c r="AD989" s="105"/>
    </row>
    <row r="990" spans="1:30">
      <c r="A990" s="105">
        <f t="shared" si="15"/>
        <v>989</v>
      </c>
      <c r="B990" s="371">
        <f>YEAR(Table6[[#This Row],[Date]])+IF(MONTH(Table6[[#This Row],[Date]])&gt;=4,1,0)</f>
        <v>2026</v>
      </c>
      <c r="C990" s="372">
        <f>YEAR(Table6[[#This Row],[Date]])</f>
        <v>2025</v>
      </c>
      <c r="D990" s="105" t="s">
        <v>490</v>
      </c>
      <c r="E990" s="119">
        <f>Table6[[#This Row],[Date]]-DAY(Table6[[#This Row],[Date]])+1</f>
        <v>45839</v>
      </c>
      <c r="F990" s="373">
        <v>45854</v>
      </c>
      <c r="G990" s="374"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105" t="s">
        <v>1270</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46" t="s">
        <v>463</v>
      </c>
      <c r="W990" s="377">
        <f>Table6[[#This Row],[Breakdown Time]]*(1/39)</f>
        <v>3.162393162393165E-2</v>
      </c>
      <c r="X990" s="336" t="s">
        <v>465</v>
      </c>
      <c r="Y990" s="346" t="s">
        <v>127</v>
      </c>
      <c r="Z990" s="15">
        <v>3498</v>
      </c>
      <c r="AA990" s="107">
        <f>IFERROR((Table6[[#This Row],[Paired WTG Generation for loss calculation]]/24)*Table6[[#This Row],[Breakdown Time]],"")</f>
        <v>179.75833333333347</v>
      </c>
      <c r="AB990" s="107" t="s">
        <v>478</v>
      </c>
      <c r="AC990" s="105"/>
      <c r="AD990" s="105"/>
    </row>
    <row r="991" spans="1:30">
      <c r="A991" s="105">
        <f t="shared" si="15"/>
        <v>990</v>
      </c>
      <c r="B991" s="371">
        <f>YEAR(Table6[[#This Row],[Date]])+IF(MONTH(Table6[[#This Row],[Date]])&gt;=4,1,0)</f>
        <v>2026</v>
      </c>
      <c r="C991" s="372">
        <f>YEAR(Table6[[#This Row],[Date]])</f>
        <v>2025</v>
      </c>
      <c r="D991" s="105" t="s">
        <v>490</v>
      </c>
      <c r="E991" s="119">
        <f>Table6[[#This Row],[Date]]-DAY(Table6[[#This Row],[Date]])+1</f>
        <v>45839</v>
      </c>
      <c r="F991" s="373">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105"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77">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c r="AC991" s="105"/>
      <c r="AD991" s="105"/>
    </row>
    <row r="992" spans="1:30">
      <c r="A992" s="105">
        <f t="shared" si="15"/>
        <v>991</v>
      </c>
      <c r="B992" s="371">
        <f>YEAR(Table6[[#This Row],[Date]])+IF(MONTH(Table6[[#This Row],[Date]])&gt;=4,1,0)</f>
        <v>2026</v>
      </c>
      <c r="C992" s="372">
        <f>YEAR(Table6[[#This Row],[Date]])</f>
        <v>2025</v>
      </c>
      <c r="D992" s="105" t="s">
        <v>490</v>
      </c>
      <c r="E992" s="119">
        <f>Table6[[#This Row],[Date]]-DAY(Table6[[#This Row],[Date]])+1</f>
        <v>45839</v>
      </c>
      <c r="F992" s="373">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105"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77">
        <f>Table6[[#This Row],[Breakdown Time]]*(1/39)</f>
        <v>0.61537749287749288</v>
      </c>
      <c r="X992" s="336" t="s">
        <v>1212</v>
      </c>
      <c r="Y992" s="352" t="s">
        <v>143</v>
      </c>
      <c r="Z992" s="105">
        <v>2198</v>
      </c>
      <c r="AA992" s="107">
        <f>IFERROR((Table6[[#This Row],[Paired WTG Generation for loss calculation]]/24)*Table6[[#This Row],[Breakdown Time]],"")</f>
        <v>2197.9745601851855</v>
      </c>
      <c r="AB992" s="107" t="s">
        <v>478</v>
      </c>
      <c r="AC992" s="105"/>
      <c r="AD992" s="105"/>
    </row>
    <row r="993" spans="1:30">
      <c r="A993" s="105">
        <f t="shared" si="15"/>
        <v>992</v>
      </c>
      <c r="B993" s="371">
        <f>YEAR(Table6[[#This Row],[Date]])+IF(MONTH(Table6[[#This Row],[Date]])&gt;=4,1,0)</f>
        <v>2026</v>
      </c>
      <c r="C993" s="372">
        <f>YEAR(Table6[[#This Row],[Date]])</f>
        <v>2025</v>
      </c>
      <c r="D993" s="105" t="s">
        <v>490</v>
      </c>
      <c r="E993" s="119">
        <f>Table6[[#This Row],[Date]]-DAY(Table6[[#This Row],[Date]])+1</f>
        <v>45839</v>
      </c>
      <c r="F993" s="373">
        <v>45855</v>
      </c>
      <c r="G993" s="374" t="s">
        <v>115</v>
      </c>
      <c r="H993" s="39" t="str">
        <f>_xlfn.XLOOKUP(Table6[[#This Row],[Affected WTG]],'Basic Data'!$A:$A,'Basic Data'!$B:$B)</f>
        <v>PWEGPL</v>
      </c>
      <c r="I993" s="39" t="str">
        <f>_xlfn.XLOOKUP(Table6[[#This Row],[Affected WTG]],'Basic Data'!$A:$A,'Basic Data'!$C:$C)</f>
        <v>MSEDCL</v>
      </c>
      <c r="J993" s="381">
        <f>IFERROR(VLOOKUP(Table6[[#This Row],[Affected WTG]],'Basic Data'!$A$3:$E$56,5,0),"")</f>
        <v>2.564102564102564E-2</v>
      </c>
      <c r="K993" s="105">
        <v>2118</v>
      </c>
      <c r="L993" s="39" t="str">
        <f>IFERROR(VLOOKUP(Table6[[#This Row],[Error Code]],'Basic Data'!$T:$U,2,0),"")</f>
        <v>Bus Error - Interbus Failure</v>
      </c>
      <c r="M993" s="346" t="s">
        <v>462</v>
      </c>
      <c r="N993" s="105" t="s">
        <v>1270</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46" t="s">
        <v>463</v>
      </c>
      <c r="W993" s="377">
        <f>Table6[[#This Row],[Breakdown Time]]*(1/39)</f>
        <v>2.3931623931623913E-2</v>
      </c>
      <c r="X993" s="337" t="s">
        <v>465</v>
      </c>
      <c r="Y993" s="346" t="s">
        <v>121</v>
      </c>
      <c r="Z993" s="105">
        <v>1956</v>
      </c>
      <c r="AA993" s="107">
        <f>IFERROR((Table6[[#This Row],[Paired WTG Generation for loss calculation]]/24)*Table6[[#This Row],[Breakdown Time]],"")</f>
        <v>76.06666666666662</v>
      </c>
      <c r="AB993" s="107" t="s">
        <v>478</v>
      </c>
      <c r="AC993" s="105"/>
      <c r="AD993" s="105"/>
    </row>
    <row r="994" spans="1:30">
      <c r="A994" s="105">
        <f t="shared" si="15"/>
        <v>993</v>
      </c>
      <c r="B994" s="371">
        <f>YEAR(Table6[[#This Row],[Date]])+IF(MONTH(Table6[[#This Row],[Date]])&gt;=4,1,0)</f>
        <v>2026</v>
      </c>
      <c r="C994" s="372">
        <f>YEAR(Table6[[#This Row],[Date]])</f>
        <v>2025</v>
      </c>
      <c r="D994" s="105" t="s">
        <v>490</v>
      </c>
      <c r="E994" s="119">
        <f>Table6[[#This Row],[Date]]-DAY(Table6[[#This Row],[Date]])+1</f>
        <v>45839</v>
      </c>
      <c r="F994" s="373">
        <v>45855</v>
      </c>
      <c r="G994" s="374" t="s">
        <v>116</v>
      </c>
      <c r="H994" s="39" t="str">
        <f>_xlfn.XLOOKUP(Table6[[#This Row],[Affected WTG]],'Basic Data'!$A:$A,'Basic Data'!$B:$B)</f>
        <v>PWEGPL</v>
      </c>
      <c r="I994" s="39" t="str">
        <f>_xlfn.XLOOKUP(Table6[[#This Row],[Affected WTG]],'Basic Data'!$A:$A,'Basic Data'!$C:$C)</f>
        <v>MSEDCL</v>
      </c>
      <c r="J994" s="381">
        <f>IFERROR(VLOOKUP(Table6[[#This Row],[Affected WTG]],'Basic Data'!$A$3:$E$56,5,0),"")</f>
        <v>2.564102564102564E-2</v>
      </c>
      <c r="K994" s="105">
        <v>5225</v>
      </c>
      <c r="L994" s="39" t="str">
        <f>IFERROR(VLOOKUP(Table6[[#This Row],[Error Code]],'Basic Data'!$T:$U,2,0),"")</f>
        <v>Fault In Analog Electronic Power Supply</v>
      </c>
      <c r="M994" s="346" t="s">
        <v>462</v>
      </c>
      <c r="N994" s="105" t="s">
        <v>1270</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46" t="s">
        <v>463</v>
      </c>
      <c r="W994" s="377">
        <f>Table6[[#This Row],[Breakdown Time]]*(1/39)</f>
        <v>4.4444444444444418E-2</v>
      </c>
      <c r="X994" s="337" t="s">
        <v>465</v>
      </c>
      <c r="Y994" s="346" t="s">
        <v>118</v>
      </c>
      <c r="Z994" s="105">
        <v>1948</v>
      </c>
      <c r="AA994" s="107">
        <f>IFERROR((Table6[[#This Row],[Paired WTG Generation for loss calculation]]/24)*Table6[[#This Row],[Breakdown Time]],"")</f>
        <v>140.68888888888884</v>
      </c>
      <c r="AB994" s="107" t="s">
        <v>478</v>
      </c>
      <c r="AC994" s="105"/>
      <c r="AD994" s="105"/>
    </row>
    <row r="995" spans="1:30">
      <c r="A995" s="105">
        <f t="shared" si="15"/>
        <v>994</v>
      </c>
      <c r="B995" s="371">
        <f>YEAR(Table6[[#This Row],[Date]])+IF(MONTH(Table6[[#This Row],[Date]])&gt;=4,1,0)</f>
        <v>2026</v>
      </c>
      <c r="C995" s="372">
        <f>YEAR(Table6[[#This Row],[Date]])</f>
        <v>2025</v>
      </c>
      <c r="D995" s="105" t="s">
        <v>490</v>
      </c>
      <c r="E995" s="119">
        <f>Table6[[#This Row],[Date]]-DAY(Table6[[#This Row],[Date]])+1</f>
        <v>45839</v>
      </c>
      <c r="F995" s="373">
        <v>45855</v>
      </c>
      <c r="G995" s="374" t="s">
        <v>120</v>
      </c>
      <c r="H995" s="39" t="str">
        <f>_xlfn.XLOOKUP(Table6[[#This Row],[Affected WTG]],'Basic Data'!$A:$A,'Basic Data'!$B:$B)</f>
        <v>PWEGPL</v>
      </c>
      <c r="I995" s="39" t="str">
        <f>_xlfn.XLOOKUP(Table6[[#This Row],[Affected WTG]],'Basic Data'!$A:$A,'Basic Data'!$C:$C)</f>
        <v>MSEDCL</v>
      </c>
      <c r="J995" s="381">
        <f>IFERROR(VLOOKUP(Table6[[#This Row],[Affected WTG]],'Basic Data'!$A$3:$E$56,5,0),"")</f>
        <v>2.564102564102564E-2</v>
      </c>
      <c r="K995" s="105">
        <v>5216</v>
      </c>
      <c r="L995" s="39" t="str">
        <f>IFERROR(VLOOKUP(Table6[[#This Row],[Error Code]],'Basic Data'!$T:$U,2,0),"")</f>
        <v>Grid Voltage Failure</v>
      </c>
      <c r="M995" s="346" t="s">
        <v>462</v>
      </c>
      <c r="N995" s="105" t="s">
        <v>1270</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46" t="s">
        <v>463</v>
      </c>
      <c r="W995" s="377">
        <f>Table6[[#This Row],[Breakdown Time]]*(1/39)</f>
        <v>6.3247863247863231E-2</v>
      </c>
      <c r="X995" s="337" t="s">
        <v>465</v>
      </c>
      <c r="Y995" s="346" t="s">
        <v>117</v>
      </c>
      <c r="Z995" s="105">
        <v>1952</v>
      </c>
      <c r="AA995" s="107">
        <f>IFERROR((Table6[[#This Row],[Paired WTG Generation for loss calculation]]/24)*Table6[[#This Row],[Breakdown Time]],"")</f>
        <v>200.62222222222215</v>
      </c>
      <c r="AB995" s="107" t="s">
        <v>478</v>
      </c>
      <c r="AC995" s="105"/>
      <c r="AD995" s="105"/>
    </row>
    <row r="996" spans="1:30">
      <c r="A996" s="105">
        <f t="shared" si="15"/>
        <v>995</v>
      </c>
      <c r="B996" s="371">
        <f>YEAR(Table6[[#This Row],[Date]])+IF(MONTH(Table6[[#This Row],[Date]])&gt;=4,1,0)</f>
        <v>2026</v>
      </c>
      <c r="C996" s="372">
        <f>YEAR(Table6[[#This Row],[Date]])</f>
        <v>2025</v>
      </c>
      <c r="D996" s="105" t="s">
        <v>490</v>
      </c>
      <c r="E996" s="119">
        <f>Table6[[#This Row],[Date]]-DAY(Table6[[#This Row],[Date]])+1</f>
        <v>45839</v>
      </c>
      <c r="F996" s="373">
        <v>45855</v>
      </c>
      <c r="G996" s="374" t="s">
        <v>123</v>
      </c>
      <c r="H996" s="39" t="str">
        <f>_xlfn.XLOOKUP(Table6[[#This Row],[Affected WTG]],'Basic Data'!$A:$A,'Basic Data'!$B:$B)</f>
        <v>PWEGPL</v>
      </c>
      <c r="I996" s="39" t="str">
        <f>_xlfn.XLOOKUP(Table6[[#This Row],[Affected WTG]],'Basic Data'!$A:$A,'Basic Data'!$C:$C)</f>
        <v>MSEDCL</v>
      </c>
      <c r="J996" s="381">
        <f>IFERROR(VLOOKUP(Table6[[#This Row],[Affected WTG]],'Basic Data'!$A$3:$E$56,5,0),"")</f>
        <v>2.564102564102564E-2</v>
      </c>
      <c r="K996" s="105">
        <v>203</v>
      </c>
      <c r="L996" s="39" t="str">
        <f>IFERROR(VLOOKUP(Table6[[#This Row],[Error Code]],'Basic Data'!$T:$U,2,0),"")</f>
        <v>Low Pressure On Hydraulic Group</v>
      </c>
      <c r="M996" s="346" t="s">
        <v>462</v>
      </c>
      <c r="N996" s="105" t="s">
        <v>1270</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46" t="s">
        <v>463</v>
      </c>
      <c r="W996" s="377">
        <f>Table6[[#This Row],[Breakdown Time]]*(1/39)</f>
        <v>1.7948717948717954E-2</v>
      </c>
      <c r="X996" s="337" t="s">
        <v>465</v>
      </c>
      <c r="Y996" s="346" t="s">
        <v>126</v>
      </c>
      <c r="Z996" s="105">
        <v>2012</v>
      </c>
      <c r="AA996" s="107">
        <f>IFERROR((Table6[[#This Row],[Paired WTG Generation for loss calculation]]/24)*Table6[[#This Row],[Breakdown Time]],"")</f>
        <v>58.683333333333344</v>
      </c>
      <c r="AB996" s="107" t="s">
        <v>478</v>
      </c>
      <c r="AC996" s="105"/>
      <c r="AD996" s="105"/>
    </row>
    <row r="997" spans="1:30">
      <c r="A997" s="105">
        <f t="shared" si="15"/>
        <v>996</v>
      </c>
      <c r="B997" s="371">
        <f>YEAR(Table6[[#This Row],[Date]])+IF(MONTH(Table6[[#This Row],[Date]])&gt;=4,1,0)</f>
        <v>2026</v>
      </c>
      <c r="C997" s="372">
        <f>YEAR(Table6[[#This Row],[Date]])</f>
        <v>2025</v>
      </c>
      <c r="D997" s="105" t="s">
        <v>490</v>
      </c>
      <c r="E997" s="119">
        <f>Table6[[#This Row],[Date]]-DAY(Table6[[#This Row],[Date]])+1</f>
        <v>45839</v>
      </c>
      <c r="F997" s="373">
        <v>45855</v>
      </c>
      <c r="G997" s="374" t="s">
        <v>126</v>
      </c>
      <c r="H997" s="39" t="str">
        <f>_xlfn.XLOOKUP(Table6[[#This Row],[Affected WTG]],'Basic Data'!$A:$A,'Basic Data'!$B:$B)</f>
        <v>PWEGPL</v>
      </c>
      <c r="I997" s="39" t="str">
        <f>_xlfn.XLOOKUP(Table6[[#This Row],[Affected WTG]],'Basic Data'!$A:$A,'Basic Data'!$C:$C)</f>
        <v>MSEDCL</v>
      </c>
      <c r="J997" s="381">
        <f>IFERROR(VLOOKUP(Table6[[#This Row],[Affected WTG]],'Basic Data'!$A$3:$E$56,5,0),"")</f>
        <v>2.564102564102564E-2</v>
      </c>
      <c r="K997" s="105">
        <v>700</v>
      </c>
      <c r="L997" s="39" t="str">
        <f>IFERROR(VLOOKUP(Table6[[#This Row],[Error Code]],'Basic Data'!$T:$U,2,0),"")</f>
        <v>PLC-Converter Communication Error</v>
      </c>
      <c r="M997" s="346" t="s">
        <v>462</v>
      </c>
      <c r="N997" s="105" t="s">
        <v>1270</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46" t="s">
        <v>463</v>
      </c>
      <c r="W997" s="377">
        <f>Table6[[#This Row],[Breakdown Time]]*(1/39)</f>
        <v>1.2820512820512843E-2</v>
      </c>
      <c r="X997" s="337" t="s">
        <v>465</v>
      </c>
      <c r="Y997" s="346" t="s">
        <v>123</v>
      </c>
      <c r="Z997" s="105">
        <v>2001</v>
      </c>
      <c r="AA997" s="107">
        <f>IFERROR((Table6[[#This Row],[Paired WTG Generation for loss calculation]]/24)*Table6[[#This Row],[Breakdown Time]],"")</f>
        <v>41.687500000000071</v>
      </c>
      <c r="AB997" s="107" t="s">
        <v>478</v>
      </c>
      <c r="AC997" s="105"/>
      <c r="AD997" s="105"/>
    </row>
    <row r="998" spans="1:30">
      <c r="A998" s="105">
        <f t="shared" si="15"/>
        <v>997</v>
      </c>
      <c r="B998" s="371">
        <f>YEAR(Table6[[#This Row],[Date]])+IF(MONTH(Table6[[#This Row],[Date]])&gt;=4,1,0)</f>
        <v>2026</v>
      </c>
      <c r="C998" s="372">
        <f>YEAR(Table6[[#This Row],[Date]])</f>
        <v>2025</v>
      </c>
      <c r="D998" s="105" t="s">
        <v>490</v>
      </c>
      <c r="E998" s="119">
        <f>Table6[[#This Row],[Date]]-DAY(Table6[[#This Row],[Date]])+1</f>
        <v>45839</v>
      </c>
      <c r="F998" s="373">
        <v>45855</v>
      </c>
      <c r="G998" s="374" t="s">
        <v>130</v>
      </c>
      <c r="H998" s="39" t="str">
        <f>_xlfn.XLOOKUP(Table6[[#This Row],[Affected WTG]],'Basic Data'!$A:$A,'Basic Data'!$B:$B)</f>
        <v>PWEGPL</v>
      </c>
      <c r="I998" s="39" t="str">
        <f>_xlfn.XLOOKUP(Table6[[#This Row],[Affected WTG]],'Basic Data'!$A:$A,'Basic Data'!$C:$C)</f>
        <v>MSEDCL</v>
      </c>
      <c r="J998" s="381">
        <f>IFERROR(VLOOKUP(Table6[[#This Row],[Affected WTG]],'Basic Data'!$A$3:$E$56,5,0),"")</f>
        <v>2.564102564102564E-2</v>
      </c>
      <c r="K998" s="105">
        <v>5203</v>
      </c>
      <c r="L998" s="39" t="str">
        <f>IFERROR(VLOOKUP(Table6[[#This Row],[Error Code]],'Basic Data'!$T:$U,2,0),"")</f>
        <v>Heating/Coolant Thermal Magnetic Failure</v>
      </c>
      <c r="M998" s="346" t="s">
        <v>462</v>
      </c>
      <c r="N998" s="105" t="s">
        <v>1270</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46" t="s">
        <v>463</v>
      </c>
      <c r="W998" s="377">
        <f>Table6[[#This Row],[Breakdown Time]]*(1/39)</f>
        <v>4.7435897435897399E-2</v>
      </c>
      <c r="X998" s="337" t="s">
        <v>465</v>
      </c>
      <c r="Y998" s="346" t="s">
        <v>129</v>
      </c>
      <c r="Z998" s="105">
        <v>2109</v>
      </c>
      <c r="AA998" s="107">
        <f>IFERROR((Table6[[#This Row],[Paired WTG Generation for loss calculation]]/24)*Table6[[#This Row],[Breakdown Time]],"")</f>
        <v>162.56874999999988</v>
      </c>
      <c r="AB998" s="107" t="s">
        <v>478</v>
      </c>
      <c r="AC998" s="105"/>
      <c r="AD998" s="105"/>
    </row>
    <row r="999" spans="1:30">
      <c r="A999" s="105">
        <f t="shared" si="15"/>
        <v>998</v>
      </c>
      <c r="B999" s="371">
        <f>YEAR(Table6[[#This Row],[Date]])+IF(MONTH(Table6[[#This Row],[Date]])&gt;=4,1,0)</f>
        <v>2026</v>
      </c>
      <c r="C999" s="372">
        <f>YEAR(Table6[[#This Row],[Date]])</f>
        <v>2025</v>
      </c>
      <c r="D999" s="105" t="s">
        <v>490</v>
      </c>
      <c r="E999" s="119">
        <f>Table6[[#This Row],[Date]]-DAY(Table6[[#This Row],[Date]])+1</f>
        <v>45839</v>
      </c>
      <c r="F999" s="373">
        <v>45855</v>
      </c>
      <c r="G999" s="374" t="s">
        <v>131</v>
      </c>
      <c r="H999" s="39" t="str">
        <f>_xlfn.XLOOKUP(Table6[[#This Row],[Affected WTG]],'Basic Data'!$A:$A,'Basic Data'!$B:$B)</f>
        <v>PWEGPL</v>
      </c>
      <c r="I999" s="39" t="str">
        <f>_xlfn.XLOOKUP(Table6[[#This Row],[Affected WTG]],'Basic Data'!$A:$A,'Basic Data'!$C:$C)</f>
        <v>MSEDCL</v>
      </c>
      <c r="J999" s="381">
        <f>IFERROR(VLOOKUP(Table6[[#This Row],[Affected WTG]],'Basic Data'!$A$3:$E$56,5,0),"")</f>
        <v>2.564102564102564E-2</v>
      </c>
      <c r="K999" s="105" t="s">
        <v>466</v>
      </c>
      <c r="L999" s="39" t="str">
        <f>IFERROR(VLOOKUP(Table6[[#This Row],[Error Code]],'Basic Data'!$T:$U,2,0),"")</f>
        <v>Manual Stop</v>
      </c>
      <c r="M999" s="346" t="s">
        <v>462</v>
      </c>
      <c r="N999" s="105" t="s">
        <v>230</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46" t="s">
        <v>463</v>
      </c>
      <c r="W999" s="377">
        <f>Table6[[#This Row],[Breakdown Time]]*(1/39)</f>
        <v>5.0000000000000024E-2</v>
      </c>
      <c r="X999" s="337" t="s">
        <v>465</v>
      </c>
      <c r="Y999" s="346" t="s">
        <v>130</v>
      </c>
      <c r="Z999" s="105">
        <v>2018</v>
      </c>
      <c r="AA999" s="107">
        <f>IFERROR((Table6[[#This Row],[Paired WTG Generation for loss calculation]]/24)*Table6[[#This Row],[Breakdown Time]],"")</f>
        <v>163.96250000000009</v>
      </c>
      <c r="AB999" s="107" t="s">
        <v>478</v>
      </c>
      <c r="AC999" s="105"/>
      <c r="AD999" s="105"/>
    </row>
    <row r="1000" spans="1:30">
      <c r="A1000" s="105">
        <f t="shared" si="15"/>
        <v>999</v>
      </c>
      <c r="B1000" s="371">
        <f>YEAR(Table6[[#This Row],[Date]])+IF(MONTH(Table6[[#This Row],[Date]])&gt;=4,1,0)</f>
        <v>2026</v>
      </c>
      <c r="C1000" s="372">
        <f>YEAR(Table6[[#This Row],[Date]])</f>
        <v>2025</v>
      </c>
      <c r="D1000" s="105" t="s">
        <v>490</v>
      </c>
      <c r="E1000" s="119">
        <f>Table6[[#This Row],[Date]]-DAY(Table6[[#This Row],[Date]])+1</f>
        <v>45839</v>
      </c>
      <c r="F1000" s="373">
        <v>45855</v>
      </c>
      <c r="G1000" s="374" t="s">
        <v>145</v>
      </c>
      <c r="H1000" s="39" t="str">
        <f>_xlfn.XLOOKUP(Table6[[#This Row],[Affected WTG]],'Basic Data'!$A:$A,'Basic Data'!$B:$B)</f>
        <v>PWEGPL</v>
      </c>
      <c r="I1000" s="39" t="str">
        <f>_xlfn.XLOOKUP(Table6[[#This Row],[Affected WTG]],'Basic Data'!$A:$A,'Basic Data'!$C:$C)</f>
        <v>MSEDCL</v>
      </c>
      <c r="J1000" s="381">
        <f>IFERROR(VLOOKUP(Table6[[#This Row],[Affected WTG]],'Basic Data'!$A$3:$E$56,5,0),"")</f>
        <v>2.564102564102564E-2</v>
      </c>
      <c r="K1000" s="105">
        <v>5201</v>
      </c>
      <c r="L1000" s="39" t="str">
        <f>IFERROR(VLOOKUP(Table6[[#This Row],[Error Code]],'Basic Data'!$T:$U,2,0),"")</f>
        <v>Magnetothermic Trigger Of The Stator Protection</v>
      </c>
      <c r="M1000" s="346" t="s">
        <v>462</v>
      </c>
      <c r="N1000" s="105" t="s">
        <v>1270</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46" t="s">
        <v>463</v>
      </c>
      <c r="W1000" s="377">
        <f>Table6[[#This Row],[Breakdown Time]]*(1/39)</f>
        <v>1.581196581196579E-2</v>
      </c>
      <c r="X1000" s="337" t="s">
        <v>465</v>
      </c>
      <c r="Y1000" s="346" t="s">
        <v>139</v>
      </c>
      <c r="Z1000" s="105">
        <v>1850</v>
      </c>
      <c r="AA1000" s="107">
        <f>IFERROR((Table6[[#This Row],[Paired WTG Generation for loss calculation]]/24)*Table6[[#This Row],[Breakdown Time]],"")</f>
        <v>47.53472222222215</v>
      </c>
      <c r="AB1000" s="107" t="s">
        <v>478</v>
      </c>
      <c r="AC1000" s="105"/>
      <c r="AD1000" s="105"/>
    </row>
    <row r="1001" spans="1:30">
      <c r="A1001" s="105">
        <f t="shared" si="15"/>
        <v>1000</v>
      </c>
      <c r="B1001" s="371">
        <f>YEAR(Table6[[#This Row],[Date]])+IF(MONTH(Table6[[#This Row],[Date]])&gt;=4,1,0)</f>
        <v>2026</v>
      </c>
      <c r="C1001" s="372">
        <f>YEAR(Table6[[#This Row],[Date]])</f>
        <v>2025</v>
      </c>
      <c r="D1001" s="105" t="s">
        <v>490</v>
      </c>
      <c r="E1001" s="119">
        <f>Table6[[#This Row],[Date]]-DAY(Table6[[#This Row],[Date]])+1</f>
        <v>45839</v>
      </c>
      <c r="F1001" s="373">
        <v>45855</v>
      </c>
      <c r="G1001" s="374" t="s">
        <v>148</v>
      </c>
      <c r="H1001" s="39" t="str">
        <f>_xlfn.XLOOKUP(Table6[[#This Row],[Affected WTG]],'Basic Data'!$A:$A,'Basic Data'!$B:$B)</f>
        <v>PWEGPL</v>
      </c>
      <c r="I1001" s="39" t="str">
        <f>_xlfn.XLOOKUP(Table6[[#This Row],[Affected WTG]],'Basic Data'!$A:$A,'Basic Data'!$C:$C)</f>
        <v>MSEDCL</v>
      </c>
      <c r="J1001" s="381">
        <f>IFERROR(VLOOKUP(Table6[[#This Row],[Affected WTG]],'Basic Data'!$A$3:$E$56,5,0),"")</f>
        <v>2.564102564102564E-2</v>
      </c>
      <c r="K1001" s="105">
        <v>5201</v>
      </c>
      <c r="L1001" s="39" t="str">
        <f>IFERROR(VLOOKUP(Table6[[#This Row],[Error Code]],'Basic Data'!$T:$U,2,0),"")</f>
        <v>Magnetothermic Trigger Of The Stator Protection</v>
      </c>
      <c r="M1001" s="346" t="s">
        <v>462</v>
      </c>
      <c r="N1001" s="105" t="s">
        <v>1270</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46" t="s">
        <v>463</v>
      </c>
      <c r="W1001" s="377">
        <f>Table6[[#This Row],[Breakdown Time]]*(1/39)</f>
        <v>2.8632478632478597E-2</v>
      </c>
      <c r="X1001" s="337" t="s">
        <v>465</v>
      </c>
      <c r="Y1001" s="346" t="s">
        <v>149</v>
      </c>
      <c r="Z1001" s="105">
        <v>1536</v>
      </c>
      <c r="AA1001" s="107">
        <f>IFERROR((Table6[[#This Row],[Paired WTG Generation for loss calculation]]/24)*Table6[[#This Row],[Breakdown Time]],"")</f>
        <v>71.466666666666583</v>
      </c>
      <c r="AB1001" s="107" t="s">
        <v>478</v>
      </c>
      <c r="AC1001" s="105"/>
      <c r="AD1001" s="105"/>
    </row>
    <row r="1002" spans="1:30">
      <c r="A1002" s="105">
        <f t="shared" si="15"/>
        <v>1001</v>
      </c>
      <c r="B1002" s="371">
        <f>YEAR(Table6[[#This Row],[Date]])+IF(MONTH(Table6[[#This Row],[Date]])&gt;=4,1,0)</f>
        <v>2026</v>
      </c>
      <c r="C1002" s="372">
        <f>YEAR(Table6[[#This Row],[Date]])</f>
        <v>2025</v>
      </c>
      <c r="D1002" s="105" t="s">
        <v>490</v>
      </c>
      <c r="E1002" s="119">
        <f>Table6[[#This Row],[Date]]-DAY(Table6[[#This Row],[Date]])+1</f>
        <v>45839</v>
      </c>
      <c r="F1002" s="373">
        <v>45855</v>
      </c>
      <c r="G1002" s="374" t="s">
        <v>149</v>
      </c>
      <c r="H1002" s="39" t="str">
        <f>_xlfn.XLOOKUP(Table6[[#This Row],[Affected WTG]],'Basic Data'!$A:$A,'Basic Data'!$B:$B)</f>
        <v>PWEGPL</v>
      </c>
      <c r="I1002" s="39" t="str">
        <f>_xlfn.XLOOKUP(Table6[[#This Row],[Affected WTG]],'Basic Data'!$A:$A,'Basic Data'!$C:$C)</f>
        <v>MSEDCL</v>
      </c>
      <c r="J1002" s="381">
        <f>IFERROR(VLOOKUP(Table6[[#This Row],[Affected WTG]],'Basic Data'!$A$3:$E$56,5,0),"")</f>
        <v>2.564102564102564E-2</v>
      </c>
      <c r="K1002" s="105">
        <v>5201</v>
      </c>
      <c r="L1002" s="39" t="str">
        <f>IFERROR(VLOOKUP(Table6[[#This Row],[Error Code]],'Basic Data'!$T:$U,2,0),"")</f>
        <v>Magnetothermic Trigger Of The Stator Protection</v>
      </c>
      <c r="M1002" s="346" t="s">
        <v>462</v>
      </c>
      <c r="N1002" s="105" t="s">
        <v>1270</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46" t="s">
        <v>463</v>
      </c>
      <c r="W1002" s="377">
        <f>Table6[[#This Row],[Breakdown Time]]*(1/39)</f>
        <v>2.4358974358974338E-2</v>
      </c>
      <c r="X1002" s="337" t="s">
        <v>465</v>
      </c>
      <c r="Y1002" s="346" t="s">
        <v>150</v>
      </c>
      <c r="Z1002" s="105">
        <v>1854</v>
      </c>
      <c r="AA1002" s="107">
        <f>IFERROR((Table6[[#This Row],[Paired WTG Generation for loss calculation]]/24)*Table6[[#This Row],[Breakdown Time]],"")</f>
        <v>73.387499999999946</v>
      </c>
      <c r="AB1002" s="107" t="s">
        <v>478</v>
      </c>
      <c r="AC1002" s="105"/>
      <c r="AD1002" s="105"/>
    </row>
    <row r="1003" spans="1:30">
      <c r="A1003" s="105">
        <f t="shared" si="15"/>
        <v>1002</v>
      </c>
      <c r="B1003" s="371">
        <f>YEAR(Table6[[#This Row],[Date]])+IF(MONTH(Table6[[#This Row],[Date]])&gt;=4,1,0)</f>
        <v>2026</v>
      </c>
      <c r="C1003" s="372">
        <f>YEAR(Table6[[#This Row],[Date]])</f>
        <v>2025</v>
      </c>
      <c r="D1003" s="105" t="s">
        <v>490</v>
      </c>
      <c r="E1003" s="119">
        <f>Table6[[#This Row],[Date]]-DAY(Table6[[#This Row],[Date]])+1</f>
        <v>45839</v>
      </c>
      <c r="F1003" s="373">
        <v>45855</v>
      </c>
      <c r="G1003" s="374" t="s">
        <v>153</v>
      </c>
      <c r="H1003" s="39" t="str">
        <f>_xlfn.XLOOKUP(Table6[[#This Row],[Affected WTG]],'Basic Data'!$A:$A,'Basic Data'!$B:$B)</f>
        <v>PWEGPL</v>
      </c>
      <c r="I1003" s="39" t="str">
        <f>_xlfn.XLOOKUP(Table6[[#This Row],[Affected WTG]],'Basic Data'!$A:$A,'Basic Data'!$C:$C)</f>
        <v>MSEDCL</v>
      </c>
      <c r="J1003" s="381">
        <f>IFERROR(VLOOKUP(Table6[[#This Row],[Affected WTG]],'Basic Data'!$A$3:$E$56,5,0),"")</f>
        <v>2.564102564102564E-2</v>
      </c>
      <c r="K1003" s="105">
        <v>2118</v>
      </c>
      <c r="L1003" s="39" t="str">
        <f>IFERROR(VLOOKUP(Table6[[#This Row],[Error Code]],'Basic Data'!$T:$U,2,0),"")</f>
        <v>Bus Error - Interbus Failure</v>
      </c>
      <c r="M1003" s="346" t="s">
        <v>462</v>
      </c>
      <c r="N1003" s="105" t="s">
        <v>1270</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46" t="s">
        <v>463</v>
      </c>
      <c r="W1003" s="377">
        <f>Table6[[#This Row],[Breakdown Time]]*(1/39)</f>
        <v>2.2222222222222209E-2</v>
      </c>
      <c r="X1003" s="337" t="s">
        <v>465</v>
      </c>
      <c r="Y1003" s="346" t="s">
        <v>139</v>
      </c>
      <c r="Z1003" s="105">
        <v>1850</v>
      </c>
      <c r="AA1003" s="107">
        <f>IFERROR((Table6[[#This Row],[Paired WTG Generation for loss calculation]]/24)*Table6[[#This Row],[Breakdown Time]],"")</f>
        <v>66.805555555555515</v>
      </c>
      <c r="AB1003" s="107" t="s">
        <v>478</v>
      </c>
      <c r="AC1003" s="105"/>
      <c r="AD1003" s="105"/>
    </row>
    <row r="1004" spans="1:30">
      <c r="A1004" s="105">
        <f t="shared" si="15"/>
        <v>1003</v>
      </c>
      <c r="B1004" s="371">
        <f>YEAR(Table6[[#This Row],[Date]])+IF(MONTH(Table6[[#This Row],[Date]])&gt;=4,1,0)</f>
        <v>2026</v>
      </c>
      <c r="C1004" s="372">
        <f>YEAR(Table6[[#This Row],[Date]])</f>
        <v>2025</v>
      </c>
      <c r="D1004" s="105" t="s">
        <v>490</v>
      </c>
      <c r="E1004" s="119">
        <f>Table6[[#This Row],[Date]]-DAY(Table6[[#This Row],[Date]])+1</f>
        <v>45839</v>
      </c>
      <c r="F1004" s="373">
        <v>45855</v>
      </c>
      <c r="G1004" s="374" t="s">
        <v>126</v>
      </c>
      <c r="H1004" s="39" t="str">
        <f>_xlfn.XLOOKUP(Table6[[#This Row],[Affected WTG]],'Basic Data'!$A:$A,'Basic Data'!$B:$B)</f>
        <v>PWEGPL</v>
      </c>
      <c r="I1004" s="39" t="str">
        <f>_xlfn.XLOOKUP(Table6[[#This Row],[Affected WTG]],'Basic Data'!$A:$A,'Basic Data'!$C:$C)</f>
        <v>MSEDCL</v>
      </c>
      <c r="J1004" s="381">
        <f>IFERROR(VLOOKUP(Table6[[#This Row],[Affected WTG]],'Basic Data'!$A$3:$E$56,5,0),"")</f>
        <v>2.564102564102564E-2</v>
      </c>
      <c r="K1004" s="105">
        <v>1822</v>
      </c>
      <c r="L1004" s="39" t="str">
        <f>IFERROR(VLOOKUP(Table6[[#This Row],[Error Code]],'Basic Data'!$T:$U,2,0),"")</f>
        <v>Discussion Due To Low Temperature</v>
      </c>
      <c r="M1004" s="346" t="s">
        <v>462</v>
      </c>
      <c r="N1004" s="105" t="s">
        <v>1270</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46" t="s">
        <v>463</v>
      </c>
      <c r="W1004" s="377">
        <f>Table6[[#This Row],[Breakdown Time]]*(1/39)</f>
        <v>2.6068376068376111E-2</v>
      </c>
      <c r="X1004" s="337" t="s">
        <v>465</v>
      </c>
      <c r="Y1004" s="346" t="s">
        <v>123</v>
      </c>
      <c r="Z1004" s="105">
        <v>2001</v>
      </c>
      <c r="AA1004" s="107">
        <f>IFERROR((Table6[[#This Row],[Paired WTG Generation for loss calculation]]/24)*Table6[[#This Row],[Breakdown Time]],"")</f>
        <v>84.764583333333476</v>
      </c>
      <c r="AB1004" s="107" t="s">
        <v>478</v>
      </c>
      <c r="AC1004" s="105"/>
      <c r="AD1004" s="105"/>
    </row>
    <row r="1005" spans="1:30">
      <c r="A1005" s="105">
        <f t="shared" si="15"/>
        <v>1004</v>
      </c>
      <c r="B1005" s="371">
        <f>YEAR(Table6[[#This Row],[Date]])+IF(MONTH(Table6[[#This Row],[Date]])&gt;=4,1,0)</f>
        <v>2026</v>
      </c>
      <c r="C1005" s="372">
        <f>YEAR(Table6[[#This Row],[Date]])</f>
        <v>2025</v>
      </c>
      <c r="D1005" s="105" t="s">
        <v>490</v>
      </c>
      <c r="E1005" s="119">
        <f>Table6[[#This Row],[Date]]-DAY(Table6[[#This Row],[Date]])+1</f>
        <v>45839</v>
      </c>
      <c r="F1005" s="373">
        <v>45855</v>
      </c>
      <c r="G1005" s="374" t="s">
        <v>130</v>
      </c>
      <c r="H1005" s="39" t="str">
        <f>_xlfn.XLOOKUP(Table6[[#This Row],[Affected WTG]],'Basic Data'!$A:$A,'Basic Data'!$B:$B)</f>
        <v>PWEGPL</v>
      </c>
      <c r="I1005" s="39" t="str">
        <f>_xlfn.XLOOKUP(Table6[[#This Row],[Affected WTG]],'Basic Data'!$A:$A,'Basic Data'!$C:$C)</f>
        <v>MSEDCL</v>
      </c>
      <c r="J1005" s="381">
        <f>IFERROR(VLOOKUP(Table6[[#This Row],[Affected WTG]],'Basic Data'!$A$3:$E$56,5,0),"")</f>
        <v>2.564102564102564E-2</v>
      </c>
      <c r="K1005" s="105">
        <v>208</v>
      </c>
      <c r="L1005" s="39" t="str">
        <f>IFERROR(VLOOKUP(Table6[[#This Row],[Error Code]],'Basic Data'!$T:$U,2,0),"")</f>
        <v>HU Pump Drive Failure</v>
      </c>
      <c r="M1005" s="346" t="s">
        <v>462</v>
      </c>
      <c r="N1005" s="105" t="s">
        <v>1270</v>
      </c>
      <c r="O1005" s="330">
        <v>0.75347222222222221</v>
      </c>
      <c r="P1005" s="330">
        <v>0.76041666666666663</v>
      </c>
      <c r="Q1005" s="330">
        <v>0.78888888888888886</v>
      </c>
      <c r="R1005" s="382">
        <f>IF(Table6[[#This Row],[Work Start TimeStamp]]="","",(Table6[[#This Row],[Work Start TimeStamp]]-Table6[[#This Row],[Fault Start TimeStamp]])*24)</f>
        <v>0.16666666666666607</v>
      </c>
      <c r="S1005" s="383">
        <f>(Table6[[#This Row],[Fault Clearance time]]-Table6[[#This Row],[Work Start TimeStamp]])*24</f>
        <v>0.68333333333333357</v>
      </c>
      <c r="T1005" s="384">
        <f>(Table6[[#This Row],[Fault Clearance time]]-Table6[[#This Row],[Fault Start TimeStamp]])*24</f>
        <v>0.84999999999999964</v>
      </c>
      <c r="U1005" s="346" t="s">
        <v>1380</v>
      </c>
      <c r="V1005" s="346" t="s">
        <v>463</v>
      </c>
      <c r="W1005" s="377">
        <f>Table6[[#This Row],[Breakdown Time]]*(1/39)</f>
        <v>2.1794871794871783E-2</v>
      </c>
      <c r="X1005" s="337" t="s">
        <v>465</v>
      </c>
      <c r="Y1005" s="346" t="s">
        <v>129</v>
      </c>
      <c r="Z1005" s="105">
        <v>2109</v>
      </c>
      <c r="AA1005" s="107">
        <f>IFERROR((Table6[[#This Row],[Paired WTG Generation for loss calculation]]/24)*Table6[[#This Row],[Breakdown Time]],"")</f>
        <v>74.693749999999966</v>
      </c>
      <c r="AB1005" s="107" t="s">
        <v>478</v>
      </c>
      <c r="AC1005" s="105"/>
      <c r="AD1005" s="105"/>
    </row>
    <row r="1006" spans="1:30">
      <c r="A1006" s="105">
        <f t="shared" si="15"/>
        <v>1005</v>
      </c>
      <c r="B1006" s="371">
        <f>YEAR(Table6[[#This Row],[Date]])+IF(MONTH(Table6[[#This Row],[Date]])&gt;=4,1,0)</f>
        <v>2026</v>
      </c>
      <c r="C1006" s="372">
        <f>YEAR(Table6[[#This Row],[Date]])</f>
        <v>2025</v>
      </c>
      <c r="D1006" s="105" t="s">
        <v>490</v>
      </c>
      <c r="E1006" s="119">
        <f>Table6[[#This Row],[Date]]-DAY(Table6[[#This Row],[Date]])+1</f>
        <v>45839</v>
      </c>
      <c r="F1006" s="373">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105"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77">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c r="AC1006" s="105"/>
      <c r="AD1006" s="105"/>
    </row>
    <row r="1007" spans="1:30">
      <c r="A1007" s="105">
        <f t="shared" si="15"/>
        <v>1006</v>
      </c>
      <c r="B1007" s="371">
        <f>YEAR(Table6[[#This Row],[Date]])+IF(MONTH(Table6[[#This Row],[Date]])&gt;=4,1,0)</f>
        <v>2026</v>
      </c>
      <c r="C1007" s="372">
        <f>YEAR(Table6[[#This Row],[Date]])</f>
        <v>2025</v>
      </c>
      <c r="D1007" s="105" t="s">
        <v>490</v>
      </c>
      <c r="E1007" s="119">
        <f>Table6[[#This Row],[Date]]-DAY(Table6[[#This Row],[Date]])+1</f>
        <v>45839</v>
      </c>
      <c r="F1007" s="373">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105"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77">
        <f>Table6[[#This Row],[Breakdown Time]]*(1/39)</f>
        <v>0.61537749287749288</v>
      </c>
      <c r="X1007" s="336" t="s">
        <v>1212</v>
      </c>
      <c r="Y1007" s="352" t="s">
        <v>143</v>
      </c>
      <c r="Z1007" s="105">
        <v>4892</v>
      </c>
      <c r="AA1007" s="107">
        <f>IFERROR((Table6[[#This Row],[Paired WTG Generation for loss calculation]]/24)*Table6[[#This Row],[Breakdown Time]],"")</f>
        <v>4891.9433796296307</v>
      </c>
      <c r="AB1007" s="107" t="s">
        <v>478</v>
      </c>
      <c r="AC1007" s="105"/>
      <c r="AD1007" s="105"/>
    </row>
    <row r="1008" spans="1:30">
      <c r="A1008" s="105">
        <f t="shared" si="15"/>
        <v>1007</v>
      </c>
      <c r="B1008" s="371">
        <f>YEAR(Table6[[#This Row],[Date]])+IF(MONTH(Table6[[#This Row],[Date]])&gt;=4,1,0)</f>
        <v>2026</v>
      </c>
      <c r="C1008" s="372">
        <f>YEAR(Table6[[#This Row],[Date]])</f>
        <v>2025</v>
      </c>
      <c r="D1008" s="105" t="s">
        <v>490</v>
      </c>
      <c r="E1008" s="119">
        <f>Table6[[#This Row],[Date]]-DAY(Table6[[#This Row],[Date]])+1</f>
        <v>45839</v>
      </c>
      <c r="F1008" s="373">
        <v>45856</v>
      </c>
      <c r="G1008" s="374" t="s">
        <v>126</v>
      </c>
      <c r="H1008" s="39" t="str">
        <f>_xlfn.XLOOKUP(Table6[[#This Row],[Affected WTG]],'Basic Data'!$A:$A,'Basic Data'!$B:$B)</f>
        <v>PWEGPL</v>
      </c>
      <c r="I1008" s="39" t="str">
        <f>_xlfn.XLOOKUP(Table6[[#This Row],[Affected WTG]],'Basic Data'!$A:$A,'Basic Data'!$C:$C)</f>
        <v>MSEDCL</v>
      </c>
      <c r="J1008" s="381">
        <f>IFERROR(VLOOKUP(Table6[[#This Row],[Affected WTG]],'Basic Data'!$A$3:$E$56,5,0),"")</f>
        <v>2.564102564102564E-2</v>
      </c>
      <c r="K1008" s="105">
        <v>1822</v>
      </c>
      <c r="L1008" s="39" t="str">
        <f>IFERROR(VLOOKUP(Table6[[#This Row],[Error Code]],'Basic Data'!$T:$U,2,0),"")</f>
        <v>Discussion Due To Low Temperature</v>
      </c>
      <c r="M1008" s="346" t="s">
        <v>462</v>
      </c>
      <c r="N1008" s="105" t="s">
        <v>1270</v>
      </c>
      <c r="O1008" s="330">
        <v>0.46527777777777779</v>
      </c>
      <c r="P1008" s="330">
        <v>0.47916666666666669</v>
      </c>
      <c r="Q1008" s="330">
        <v>0.59722222222222221</v>
      </c>
      <c r="R1008" s="382">
        <f>IF(Table6[[#This Row],[Work Start TimeStamp]]="","",(Table6[[#This Row],[Work Start TimeStamp]]-Table6[[#This Row],[Fault Start TimeStamp]])*24)</f>
        <v>0.33333333333333348</v>
      </c>
      <c r="S1008" s="382">
        <f>(Table6[[#This Row],[Fault Clearance time]]-Table6[[#This Row],[Work Start TimeStamp]])*24</f>
        <v>2.8333333333333326</v>
      </c>
      <c r="T1008" s="385">
        <f>(Table6[[#This Row],[Fault Clearance time]]-Table6[[#This Row],[Fault Start TimeStamp]])*24</f>
        <v>3.1666666666666661</v>
      </c>
      <c r="U1008" s="346" t="s">
        <v>1382</v>
      </c>
      <c r="V1008" s="346" t="s">
        <v>463</v>
      </c>
      <c r="W1008" s="377">
        <f>Table6[[#This Row],[Breakdown Time]]*(1/39)</f>
        <v>8.1196581196581172E-2</v>
      </c>
      <c r="X1008" s="337" t="s">
        <v>465</v>
      </c>
      <c r="Y1008" s="346" t="s">
        <v>127</v>
      </c>
      <c r="Z1008" s="105">
        <v>4885</v>
      </c>
      <c r="AA1008" s="107">
        <f>IFERROR((Table6[[#This Row],[Paired WTG Generation for loss calculation]]/24)*Table6[[#This Row],[Breakdown Time]],"")</f>
        <v>644.54861111111097</v>
      </c>
      <c r="AB1008" s="107" t="s">
        <v>478</v>
      </c>
      <c r="AC1008" s="105"/>
      <c r="AD1008" s="105"/>
    </row>
    <row r="1009" spans="1:30">
      <c r="A1009" s="105">
        <f t="shared" si="15"/>
        <v>1008</v>
      </c>
      <c r="B1009" s="371">
        <f>YEAR(Table6[[#This Row],[Date]])+IF(MONTH(Table6[[#This Row],[Date]])&gt;=4,1,0)</f>
        <v>2026</v>
      </c>
      <c r="C1009" s="372">
        <f>YEAR(Table6[[#This Row],[Date]])</f>
        <v>2025</v>
      </c>
      <c r="D1009" s="105" t="s">
        <v>490</v>
      </c>
      <c r="E1009" s="119">
        <f>Table6[[#This Row],[Date]]-DAY(Table6[[#This Row],[Date]])+1</f>
        <v>45839</v>
      </c>
      <c r="F1009" s="373">
        <v>45856</v>
      </c>
      <c r="G1009" s="374" t="s">
        <v>130</v>
      </c>
      <c r="H1009" s="39" t="str">
        <f>_xlfn.XLOOKUP(Table6[[#This Row],[Affected WTG]],'Basic Data'!$A:$A,'Basic Data'!$B:$B)</f>
        <v>PWEGPL</v>
      </c>
      <c r="I1009" s="39" t="str">
        <f>_xlfn.XLOOKUP(Table6[[#This Row],[Affected WTG]],'Basic Data'!$A:$A,'Basic Data'!$C:$C)</f>
        <v>MSEDCL</v>
      </c>
      <c r="J1009" s="381">
        <f>IFERROR(VLOOKUP(Table6[[#This Row],[Affected WTG]],'Basic Data'!$A$3:$E$56,5,0),"")</f>
        <v>2.564102564102564E-2</v>
      </c>
      <c r="K1009" s="105">
        <v>700</v>
      </c>
      <c r="L1009" s="39" t="str">
        <f>IFERROR(VLOOKUP(Table6[[#This Row],[Error Code]],'Basic Data'!$T:$U,2,0),"")</f>
        <v>PLC-Converter Communication Error</v>
      </c>
      <c r="M1009" s="346" t="s">
        <v>462</v>
      </c>
      <c r="N1009" s="105" t="s">
        <v>1270</v>
      </c>
      <c r="O1009" s="330">
        <v>0.70833333333333337</v>
      </c>
      <c r="P1009" s="330">
        <v>0.71388888888888891</v>
      </c>
      <c r="Q1009" s="330">
        <v>0.85833333333333328</v>
      </c>
      <c r="R1009" s="382">
        <f>IF(Table6[[#This Row],[Work Start TimeStamp]]="","",(Table6[[#This Row],[Work Start TimeStamp]]-Table6[[#This Row],[Fault Start TimeStamp]])*24)</f>
        <v>0.13333333333333286</v>
      </c>
      <c r="S1009" s="382">
        <f>(Table6[[#This Row],[Fault Clearance time]]-Table6[[#This Row],[Work Start TimeStamp]])*24</f>
        <v>3.466666666666665</v>
      </c>
      <c r="T1009" s="385">
        <f>(Table6[[#This Row],[Fault Clearance time]]-Table6[[#This Row],[Fault Start TimeStamp]])*24</f>
        <v>3.5999999999999979</v>
      </c>
      <c r="U1009" s="346" t="s">
        <v>1383</v>
      </c>
      <c r="V1009" s="346" t="s">
        <v>463</v>
      </c>
      <c r="W1009" s="377">
        <f>Table6[[#This Row],[Breakdown Time]]*(1/39)</f>
        <v>9.2307692307692243E-2</v>
      </c>
      <c r="X1009" s="337" t="s">
        <v>465</v>
      </c>
      <c r="Y1009" s="346" t="s">
        <v>131</v>
      </c>
      <c r="Z1009" s="105">
        <v>4847</v>
      </c>
      <c r="AA1009" s="107">
        <f>IFERROR((Table6[[#This Row],[Paired WTG Generation for loss calculation]]/24)*Table6[[#This Row],[Breakdown Time]],"")</f>
        <v>727.04999999999961</v>
      </c>
      <c r="AB1009" s="107" t="s">
        <v>478</v>
      </c>
      <c r="AC1009" s="105"/>
      <c r="AD1009" s="105"/>
    </row>
    <row r="1010" spans="1:30">
      <c r="A1010" s="105">
        <f t="shared" si="15"/>
        <v>1009</v>
      </c>
      <c r="B1010" s="371">
        <f>YEAR(Table6[[#This Row],[Date]])+IF(MONTH(Table6[[#This Row],[Date]])&gt;=4,1,0)</f>
        <v>2026</v>
      </c>
      <c r="C1010" s="372">
        <f>YEAR(Table6[[#This Row],[Date]])</f>
        <v>2025</v>
      </c>
      <c r="D1010" s="105" t="s">
        <v>490</v>
      </c>
      <c r="E1010" s="119">
        <f>Table6[[#This Row],[Date]]-DAY(Table6[[#This Row],[Date]])+1</f>
        <v>45839</v>
      </c>
      <c r="F1010" s="373">
        <v>45856</v>
      </c>
      <c r="G1010" s="374" t="s">
        <v>139</v>
      </c>
      <c r="H1010" s="39" t="str">
        <f>_xlfn.XLOOKUP(Table6[[#This Row],[Affected WTG]],'Basic Data'!$A:$A,'Basic Data'!$B:$B)</f>
        <v>PWEGPL</v>
      </c>
      <c r="I1010" s="39" t="str">
        <f>_xlfn.XLOOKUP(Table6[[#This Row],[Affected WTG]],'Basic Data'!$A:$A,'Basic Data'!$C:$C)</f>
        <v>MSEDCL</v>
      </c>
      <c r="J1010" s="381">
        <f>IFERROR(VLOOKUP(Table6[[#This Row],[Affected WTG]],'Basic Data'!$A$3:$E$56,5,0),"")</f>
        <v>2.564102564102564E-2</v>
      </c>
      <c r="K1010" s="105">
        <v>5201</v>
      </c>
      <c r="L1010" s="39" t="str">
        <f>IFERROR(VLOOKUP(Table6[[#This Row],[Error Code]],'Basic Data'!$T:$U,2,0),"")</f>
        <v>Magnetothermic Trigger Of The Stator Protection</v>
      </c>
      <c r="M1010" s="346" t="s">
        <v>462</v>
      </c>
      <c r="N1010" s="105" t="s">
        <v>1270</v>
      </c>
      <c r="O1010" s="330">
        <v>0.64583333333333337</v>
      </c>
      <c r="P1010" s="330">
        <v>0.66249999999999998</v>
      </c>
      <c r="Q1010" s="330">
        <v>0.67847222222222225</v>
      </c>
      <c r="R1010" s="382">
        <f>IF(Table6[[#This Row],[Work Start TimeStamp]]="","",(Table6[[#This Row],[Work Start TimeStamp]]-Table6[[#This Row],[Fault Start TimeStamp]])*24)</f>
        <v>0.39999999999999858</v>
      </c>
      <c r="S1010" s="382">
        <f>(Table6[[#This Row],[Fault Clearance time]]-Table6[[#This Row],[Work Start TimeStamp]])*24</f>
        <v>0.38333333333333464</v>
      </c>
      <c r="T1010" s="385">
        <f>(Table6[[#This Row],[Fault Clearance time]]-Table6[[#This Row],[Fault Start TimeStamp]])*24</f>
        <v>0.78333333333333321</v>
      </c>
      <c r="U1010" s="346" t="s">
        <v>1384</v>
      </c>
      <c r="V1010" s="346" t="s">
        <v>463</v>
      </c>
      <c r="W1010" s="377">
        <f>Table6[[#This Row],[Breakdown Time]]*(1/39)</f>
        <v>2.008547008547008E-2</v>
      </c>
      <c r="X1010" s="337" t="s">
        <v>465</v>
      </c>
      <c r="Y1010" s="346" t="s">
        <v>145</v>
      </c>
      <c r="Z1010" s="105">
        <v>2901</v>
      </c>
      <c r="AA1010" s="107">
        <f>IFERROR((Table6[[#This Row],[Paired WTG Generation for loss calculation]]/24)*Table6[[#This Row],[Breakdown Time]],"")</f>
        <v>94.685416666666654</v>
      </c>
      <c r="AB1010" s="107" t="s">
        <v>478</v>
      </c>
      <c r="AC1010" s="105"/>
      <c r="AD1010" s="105"/>
    </row>
    <row r="1011" spans="1:30">
      <c r="A1011" s="105">
        <f t="shared" si="15"/>
        <v>1010</v>
      </c>
      <c r="B1011" s="371">
        <f>YEAR(Table6[[#This Row],[Date]])+IF(MONTH(Table6[[#This Row],[Date]])&gt;=4,1,0)</f>
        <v>2026</v>
      </c>
      <c r="C1011" s="372">
        <f>YEAR(Table6[[#This Row],[Date]])</f>
        <v>2025</v>
      </c>
      <c r="D1011" s="105" t="s">
        <v>490</v>
      </c>
      <c r="E1011" s="119">
        <f>Table6[[#This Row],[Date]]-DAY(Table6[[#This Row],[Date]])+1</f>
        <v>45839</v>
      </c>
      <c r="F1011" s="373">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105"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77">
        <f>Table6[[#This Row],[Breakdown Time]]*(1/39)</f>
        <v>0.61537749287749288</v>
      </c>
      <c r="X1011" s="336" t="s">
        <v>465</v>
      </c>
      <c r="Y1011" s="352" t="s">
        <v>143</v>
      </c>
      <c r="Z1011" s="105">
        <v>4262</v>
      </c>
      <c r="AA1011" s="107">
        <f>IFERROR((Table6[[#This Row],[Paired WTG Generation for loss calculation]]/24)*Table6[[#This Row],[Breakdown Time]],"")</f>
        <v>4261.9506712962966</v>
      </c>
      <c r="AB1011" s="107" t="s">
        <v>478</v>
      </c>
      <c r="AC1011" s="105"/>
      <c r="AD1011" s="105"/>
    </row>
    <row r="1012" spans="1:30">
      <c r="A1012" s="105">
        <f t="shared" si="15"/>
        <v>1011</v>
      </c>
      <c r="B1012" s="371">
        <f>YEAR(Table6[[#This Row],[Date]])+IF(MONTH(Table6[[#This Row],[Date]])&gt;=4,1,0)</f>
        <v>2026</v>
      </c>
      <c r="C1012" s="372">
        <f>YEAR(Table6[[#This Row],[Date]])</f>
        <v>2025</v>
      </c>
      <c r="D1012" s="105" t="s">
        <v>490</v>
      </c>
      <c r="E1012" s="119">
        <f>Table6[[#This Row],[Date]]-DAY(Table6[[#This Row],[Date]])+1</f>
        <v>45839</v>
      </c>
      <c r="F1012" s="373">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105"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77">
        <f>Table6[[#This Row],[Breakdown Time]]*(1/39)</f>
        <v>0.61537749287749288</v>
      </c>
      <c r="X1012" s="336" t="s">
        <v>1212</v>
      </c>
      <c r="Y1012" s="352" t="s">
        <v>143</v>
      </c>
      <c r="Z1012" s="105">
        <v>4262</v>
      </c>
      <c r="AA1012" s="107">
        <f>IFERROR((Table6[[#This Row],[Paired WTG Generation for loss calculation]]/24)*Table6[[#This Row],[Breakdown Time]],"")</f>
        <v>4261.9506712962966</v>
      </c>
      <c r="AB1012" s="107" t="s">
        <v>478</v>
      </c>
      <c r="AC1012" s="105"/>
      <c r="AD1012" s="105"/>
    </row>
    <row r="1013" spans="1:30">
      <c r="A1013" s="105">
        <f t="shared" si="15"/>
        <v>1012</v>
      </c>
      <c r="B1013" s="371">
        <f>YEAR(Table6[[#This Row],[Date]])+IF(MONTH(Table6[[#This Row],[Date]])&gt;=4,1,0)</f>
        <v>2026</v>
      </c>
      <c r="C1013" s="372">
        <f>YEAR(Table6[[#This Row],[Date]])</f>
        <v>2025</v>
      </c>
      <c r="D1013" s="105" t="s">
        <v>490</v>
      </c>
      <c r="E1013" s="119">
        <f>Table6[[#This Row],[Date]]-DAY(Table6[[#This Row],[Date]])+1</f>
        <v>45839</v>
      </c>
      <c r="F1013" s="373">
        <v>45857</v>
      </c>
      <c r="G1013" s="374" t="s">
        <v>115</v>
      </c>
      <c r="H1013" s="39" t="str">
        <f>_xlfn.XLOOKUP(Table6[[#This Row],[Affected WTG]],'Basic Data'!$A:$A,'Basic Data'!$B:$B)</f>
        <v>PWEGPL</v>
      </c>
      <c r="I1013" s="39" t="str">
        <f>_xlfn.XLOOKUP(Table6[[#This Row],[Affected WTG]],'Basic Data'!$A:$A,'Basic Data'!$C:$C)</f>
        <v>MSEDCL</v>
      </c>
      <c r="J1013" s="381">
        <f>IFERROR(VLOOKUP(Table6[[#This Row],[Affected WTG]],'Basic Data'!$A$3:$E$56,5,0),"")</f>
        <v>2.564102564102564E-2</v>
      </c>
      <c r="K1013" s="105">
        <v>207</v>
      </c>
      <c r="L1013" s="39" t="str">
        <f>IFERROR(VLOOKUP(Table6[[#This Row],[Error Code]],'Basic Data'!$T:$U,2,0),"")</f>
        <v>Hydraulic Oil High Temperature</v>
      </c>
      <c r="M1013" s="346" t="s">
        <v>462</v>
      </c>
      <c r="N1013" s="105" t="s">
        <v>1270</v>
      </c>
      <c r="O1013" s="330">
        <v>0.38194444444444442</v>
      </c>
      <c r="P1013" s="330">
        <v>0.40416666666666667</v>
      </c>
      <c r="Q1013" s="330">
        <v>0.40555555555555556</v>
      </c>
      <c r="R1013" s="382">
        <f>IF(Table6[[#This Row],[Work Start TimeStamp]]="","",(Table6[[#This Row],[Work Start TimeStamp]]-Table6[[#This Row],[Fault Start TimeStamp]])*24)</f>
        <v>0.5333333333333341</v>
      </c>
      <c r="S1013" s="382">
        <f>(Table6[[#This Row],[Fault Clearance time]]-Table6[[#This Row],[Work Start TimeStamp]])*24</f>
        <v>3.3333333333333215E-2</v>
      </c>
      <c r="T1013" s="385">
        <f>(Table6[[#This Row],[Fault Clearance time]]-Table6[[#This Row],[Fault Start TimeStamp]])*24</f>
        <v>0.56666666666666732</v>
      </c>
      <c r="U1013" s="346" t="s">
        <v>493</v>
      </c>
      <c r="V1013" s="346" t="s">
        <v>463</v>
      </c>
      <c r="W1013" s="377">
        <f>Table6[[#This Row],[Breakdown Time]]*(1/39)</f>
        <v>1.4529914529914546E-2</v>
      </c>
      <c r="X1013" s="337" t="s">
        <v>465</v>
      </c>
      <c r="Y1013" s="346" t="s">
        <v>121</v>
      </c>
      <c r="Z1013" s="105">
        <v>4412</v>
      </c>
      <c r="AA1013" s="107">
        <f>IFERROR((Table6[[#This Row],[Paired WTG Generation for loss calculation]]/24)*Table6[[#This Row],[Breakdown Time]],"")</f>
        <v>104.17222222222235</v>
      </c>
      <c r="AB1013" s="107" t="s">
        <v>478</v>
      </c>
      <c r="AC1013" s="105"/>
      <c r="AD1013" s="105"/>
    </row>
    <row r="1014" spans="1:30">
      <c r="A1014" s="105">
        <f t="shared" si="15"/>
        <v>1013</v>
      </c>
      <c r="B1014" s="371">
        <f>YEAR(Table6[[#This Row],[Date]])+IF(MONTH(Table6[[#This Row],[Date]])&gt;=4,1,0)</f>
        <v>2026</v>
      </c>
      <c r="C1014" s="372">
        <f>YEAR(Table6[[#This Row],[Date]])</f>
        <v>2025</v>
      </c>
      <c r="D1014" s="105" t="s">
        <v>490</v>
      </c>
      <c r="E1014" s="119">
        <f>Table6[[#This Row],[Date]]-DAY(Table6[[#This Row],[Date]])+1</f>
        <v>45839</v>
      </c>
      <c r="F1014" s="373">
        <v>45857</v>
      </c>
      <c r="G1014" s="374" t="s">
        <v>118</v>
      </c>
      <c r="H1014" s="39" t="str">
        <f>_xlfn.XLOOKUP(Table6[[#This Row],[Affected WTG]],'Basic Data'!$A:$A,'Basic Data'!$B:$B)</f>
        <v>PWEGPL</v>
      </c>
      <c r="I1014" s="39" t="str">
        <f>_xlfn.XLOOKUP(Table6[[#This Row],[Affected WTG]],'Basic Data'!$A:$A,'Basic Data'!$C:$C)</f>
        <v>MSEDCL</v>
      </c>
      <c r="J1014" s="381">
        <f>IFERROR(VLOOKUP(Table6[[#This Row],[Affected WTG]],'Basic Data'!$A$3:$E$56,5,0),"")</f>
        <v>2.564102564102564E-2</v>
      </c>
      <c r="K1014" s="105">
        <v>5263</v>
      </c>
      <c r="L1014" s="39" t="str">
        <f>IFERROR(VLOOKUP(Table6[[#This Row],[Error Code]],'Basic Data'!$T:$U,2,0),"")</f>
        <v>CAN Communication Failure</v>
      </c>
      <c r="M1014" s="346" t="s">
        <v>462</v>
      </c>
      <c r="N1014" s="105" t="s">
        <v>1270</v>
      </c>
      <c r="O1014" s="330">
        <v>0.38819444444444445</v>
      </c>
      <c r="P1014" s="330">
        <v>0.41736111111111113</v>
      </c>
      <c r="Q1014" s="330">
        <v>0.41805555555555557</v>
      </c>
      <c r="R1014" s="382">
        <f>IF(Table6[[#This Row],[Work Start TimeStamp]]="","",(Table6[[#This Row],[Work Start TimeStamp]]-Table6[[#This Row],[Fault Start TimeStamp]])*24)</f>
        <v>0.70000000000000018</v>
      </c>
      <c r="S1014" s="382">
        <f>(Table6[[#This Row],[Fault Clearance time]]-Table6[[#This Row],[Work Start TimeStamp]])*24</f>
        <v>1.6666666666666607E-2</v>
      </c>
      <c r="T1014" s="385">
        <f>(Table6[[#This Row],[Fault Clearance time]]-Table6[[#This Row],[Fault Start TimeStamp]])*24</f>
        <v>0.71666666666666679</v>
      </c>
      <c r="U1014" s="346" t="s">
        <v>493</v>
      </c>
      <c r="V1014" s="346" t="s">
        <v>463</v>
      </c>
      <c r="W1014" s="377">
        <f>Table6[[#This Row],[Breakdown Time]]*(1/39)</f>
        <v>1.837606837606838E-2</v>
      </c>
      <c r="X1014" s="337" t="s">
        <v>465</v>
      </c>
      <c r="Y1014" s="346" t="s">
        <v>117</v>
      </c>
      <c r="Z1014" s="105">
        <v>4407</v>
      </c>
      <c r="AA1014" s="107">
        <f>IFERROR((Table6[[#This Row],[Paired WTG Generation for loss calculation]]/24)*Table6[[#This Row],[Breakdown Time]],"")</f>
        <v>131.59791666666669</v>
      </c>
      <c r="AB1014" s="107" t="s">
        <v>478</v>
      </c>
      <c r="AC1014" s="105"/>
      <c r="AD1014" s="105"/>
    </row>
    <row r="1015" spans="1:30">
      <c r="A1015" s="105">
        <f t="shared" si="15"/>
        <v>1014</v>
      </c>
      <c r="B1015" s="371">
        <f>YEAR(Table6[[#This Row],[Date]])+IF(MONTH(Table6[[#This Row],[Date]])&gt;=4,1,0)</f>
        <v>2026</v>
      </c>
      <c r="C1015" s="372">
        <f>YEAR(Table6[[#This Row],[Date]])</f>
        <v>2025</v>
      </c>
      <c r="D1015" s="105" t="s">
        <v>490</v>
      </c>
      <c r="E1015" s="119">
        <f>Table6[[#This Row],[Date]]-DAY(Table6[[#This Row],[Date]])+1</f>
        <v>45839</v>
      </c>
      <c r="F1015" s="373">
        <v>45857</v>
      </c>
      <c r="G1015" s="374" t="s">
        <v>125</v>
      </c>
      <c r="H1015" s="39" t="str">
        <f>_xlfn.XLOOKUP(Table6[[#This Row],[Affected WTG]],'Basic Data'!$A:$A,'Basic Data'!$B:$B)</f>
        <v>PWEGPL</v>
      </c>
      <c r="I1015" s="39" t="str">
        <f>_xlfn.XLOOKUP(Table6[[#This Row],[Affected WTG]],'Basic Data'!$A:$A,'Basic Data'!$C:$C)</f>
        <v>MSEDCL</v>
      </c>
      <c r="J1015" s="381">
        <f>IFERROR(VLOOKUP(Table6[[#This Row],[Affected WTG]],'Basic Data'!$A$3:$E$56,5,0),"")</f>
        <v>2.564102564102564E-2</v>
      </c>
      <c r="K1015" s="105">
        <v>2118</v>
      </c>
      <c r="L1015" s="39" t="str">
        <f>IFERROR(VLOOKUP(Table6[[#This Row],[Error Code]],'Basic Data'!$T:$U,2,0),"")</f>
        <v>Bus Error - Interbus Failure</v>
      </c>
      <c r="M1015" s="346" t="s">
        <v>462</v>
      </c>
      <c r="N1015" s="105" t="s">
        <v>1270</v>
      </c>
      <c r="O1015" s="330">
        <v>0.38541666666666669</v>
      </c>
      <c r="P1015" s="330">
        <v>0.42708333333333331</v>
      </c>
      <c r="Q1015" s="330">
        <v>0.42777777777777776</v>
      </c>
      <c r="R1015" s="382">
        <f>IF(Table6[[#This Row],[Work Start TimeStamp]]="","",(Table6[[#This Row],[Work Start TimeStamp]]-Table6[[#This Row],[Fault Start TimeStamp]])*24)</f>
        <v>0.99999999999999911</v>
      </c>
      <c r="S1015" s="382">
        <f>(Table6[[#This Row],[Fault Clearance time]]-Table6[[#This Row],[Work Start TimeStamp]])*24</f>
        <v>1.6666666666666607E-2</v>
      </c>
      <c r="T1015" s="385">
        <f>(Table6[[#This Row],[Fault Clearance time]]-Table6[[#This Row],[Fault Start TimeStamp]])*24</f>
        <v>1.0166666666666657</v>
      </c>
      <c r="U1015" s="346" t="s">
        <v>493</v>
      </c>
      <c r="V1015" s="346" t="s">
        <v>463</v>
      </c>
      <c r="W1015" s="377">
        <f>Table6[[#This Row],[Breakdown Time]]*(1/39)</f>
        <v>2.6068376068376042E-2</v>
      </c>
      <c r="X1015" s="337" t="s">
        <v>465</v>
      </c>
      <c r="Y1015" s="346" t="s">
        <v>124</v>
      </c>
      <c r="Z1015" s="105">
        <v>4447</v>
      </c>
      <c r="AA1015" s="107">
        <f>IFERROR((Table6[[#This Row],[Paired WTG Generation for loss calculation]]/24)*Table6[[#This Row],[Breakdown Time]],"")</f>
        <v>188.37986111111093</v>
      </c>
      <c r="AB1015" s="107" t="s">
        <v>478</v>
      </c>
      <c r="AC1015" s="105"/>
      <c r="AD1015" s="105"/>
    </row>
    <row r="1016" spans="1:30">
      <c r="A1016" s="105">
        <f t="shared" si="15"/>
        <v>1015</v>
      </c>
      <c r="B1016" s="371">
        <f>YEAR(Table6[[#This Row],[Date]])+IF(MONTH(Table6[[#This Row],[Date]])&gt;=4,1,0)</f>
        <v>2026</v>
      </c>
      <c r="C1016" s="372">
        <f>YEAR(Table6[[#This Row],[Date]])</f>
        <v>2025</v>
      </c>
      <c r="D1016" s="105" t="s">
        <v>490</v>
      </c>
      <c r="E1016" s="119">
        <f>Table6[[#This Row],[Date]]-DAY(Table6[[#This Row],[Date]])+1</f>
        <v>45839</v>
      </c>
      <c r="F1016" s="373">
        <v>45857</v>
      </c>
      <c r="G1016" s="374" t="s">
        <v>127</v>
      </c>
      <c r="H1016" s="39" t="str">
        <f>_xlfn.XLOOKUP(Table6[[#This Row],[Affected WTG]],'Basic Data'!$A:$A,'Basic Data'!$B:$B)</f>
        <v>PWEGPL</v>
      </c>
      <c r="I1016" s="39" t="str">
        <f>_xlfn.XLOOKUP(Table6[[#This Row],[Affected WTG]],'Basic Data'!$A:$A,'Basic Data'!$C:$C)</f>
        <v>MSEDCL</v>
      </c>
      <c r="J1016" s="381">
        <f>IFERROR(VLOOKUP(Table6[[#This Row],[Affected WTG]],'Basic Data'!$A$3:$E$56,5,0),"")</f>
        <v>2.564102564102564E-2</v>
      </c>
      <c r="K1016" s="105">
        <v>5263</v>
      </c>
      <c r="L1016" s="39" t="str">
        <f>IFERROR(VLOOKUP(Table6[[#This Row],[Error Code]],'Basic Data'!$T:$U,2,0),"")</f>
        <v>CAN Communication Failure</v>
      </c>
      <c r="M1016" s="346" t="s">
        <v>462</v>
      </c>
      <c r="N1016" s="105" t="s">
        <v>1270</v>
      </c>
      <c r="O1016" s="330">
        <v>0.58472222222222225</v>
      </c>
      <c r="P1016" s="330">
        <v>0.59583333333333333</v>
      </c>
      <c r="Q1016" s="330">
        <v>0.64722222222222225</v>
      </c>
      <c r="R1016" s="382">
        <f>IF(Table6[[#This Row],[Work Start TimeStamp]]="","",(Table6[[#This Row],[Work Start TimeStamp]]-Table6[[#This Row],[Fault Start TimeStamp]])*24)</f>
        <v>0.26666666666666572</v>
      </c>
      <c r="S1016" s="382">
        <f>(Table6[[#This Row],[Fault Clearance time]]-Table6[[#This Row],[Work Start TimeStamp]])*24</f>
        <v>1.2333333333333343</v>
      </c>
      <c r="T1016" s="385">
        <f>(Table6[[#This Row],[Fault Clearance time]]-Table6[[#This Row],[Fault Start TimeStamp]])*24</f>
        <v>1.5</v>
      </c>
      <c r="U1016" s="346" t="s">
        <v>612</v>
      </c>
      <c r="V1016" s="346" t="s">
        <v>463</v>
      </c>
      <c r="W1016" s="377">
        <f>Table6[[#This Row],[Breakdown Time]]*(1/39)</f>
        <v>3.8461538461538464E-2</v>
      </c>
      <c r="X1016" s="337" t="s">
        <v>465</v>
      </c>
      <c r="Y1016" s="346" t="s">
        <v>126</v>
      </c>
      <c r="Z1016" s="105">
        <v>5201</v>
      </c>
      <c r="AA1016" s="107">
        <f>IFERROR((Table6[[#This Row],[Paired WTG Generation for loss calculation]]/24)*Table6[[#This Row],[Breakdown Time]],"")</f>
        <v>325.0625</v>
      </c>
      <c r="AB1016" s="107" t="s">
        <v>478</v>
      </c>
      <c r="AC1016" s="105"/>
      <c r="AD1016" s="105"/>
    </row>
    <row r="1017" spans="1:30">
      <c r="A1017" s="105">
        <f t="shared" si="15"/>
        <v>1016</v>
      </c>
      <c r="B1017" s="371">
        <f>YEAR(Table6[[#This Row],[Date]])+IF(MONTH(Table6[[#This Row],[Date]])&gt;=4,1,0)</f>
        <v>2026</v>
      </c>
      <c r="C1017" s="372">
        <f>YEAR(Table6[[#This Row],[Date]])</f>
        <v>2025</v>
      </c>
      <c r="D1017" s="105" t="s">
        <v>490</v>
      </c>
      <c r="E1017" s="119">
        <f>Table6[[#This Row],[Date]]-DAY(Table6[[#This Row],[Date]])+1</f>
        <v>45839</v>
      </c>
      <c r="F1017" s="373">
        <v>45857</v>
      </c>
      <c r="G1017" s="374" t="s">
        <v>139</v>
      </c>
      <c r="H1017" s="39" t="str">
        <f>_xlfn.XLOOKUP(Table6[[#This Row],[Affected WTG]],'Basic Data'!$A:$A,'Basic Data'!$B:$B)</f>
        <v>PWEGPL</v>
      </c>
      <c r="I1017" s="39" t="str">
        <f>_xlfn.XLOOKUP(Table6[[#This Row],[Affected WTG]],'Basic Data'!$A:$A,'Basic Data'!$C:$C)</f>
        <v>MSEDCL</v>
      </c>
      <c r="J1017" s="381">
        <f>IFERROR(VLOOKUP(Table6[[#This Row],[Affected WTG]],'Basic Data'!$A$3:$E$56,5,0),"")</f>
        <v>2.564102564102564E-2</v>
      </c>
      <c r="K1017" s="105">
        <v>2118</v>
      </c>
      <c r="L1017" s="39" t="str">
        <f>IFERROR(VLOOKUP(Table6[[#This Row],[Error Code]],'Basic Data'!$T:$U,2,0),"")</f>
        <v>Bus Error - Interbus Failure</v>
      </c>
      <c r="M1017" s="346" t="s">
        <v>462</v>
      </c>
      <c r="N1017" s="105" t="s">
        <v>1270</v>
      </c>
      <c r="O1017" s="330">
        <v>0.39930555555555558</v>
      </c>
      <c r="P1017" s="330">
        <v>0.42708333333333331</v>
      </c>
      <c r="Q1017" s="330">
        <v>0.42777777777777776</v>
      </c>
      <c r="R1017" s="382">
        <f>IF(Table6[[#This Row],[Work Start TimeStamp]]="","",(Table6[[#This Row],[Work Start TimeStamp]]-Table6[[#This Row],[Fault Start TimeStamp]])*24)</f>
        <v>0.66666666666666563</v>
      </c>
      <c r="S1017" s="382">
        <f>(Table6[[#This Row],[Fault Clearance time]]-Table6[[#This Row],[Work Start TimeStamp]])*24</f>
        <v>1.6666666666666607E-2</v>
      </c>
      <c r="T1017" s="385">
        <f>(Table6[[#This Row],[Fault Clearance time]]-Table6[[#This Row],[Fault Start TimeStamp]])*24</f>
        <v>0.68333333333333224</v>
      </c>
      <c r="U1017" s="346" t="s">
        <v>493</v>
      </c>
      <c r="V1017" s="346" t="s">
        <v>463</v>
      </c>
      <c r="W1017" s="377">
        <f>Table6[[#This Row],[Breakdown Time]]*(1/39)</f>
        <v>1.7521367521367494E-2</v>
      </c>
      <c r="X1017" s="337" t="s">
        <v>465</v>
      </c>
      <c r="Y1017" s="346" t="s">
        <v>145</v>
      </c>
      <c r="Z1017" s="105">
        <v>3412</v>
      </c>
      <c r="AA1017" s="107">
        <f>IFERROR((Table6[[#This Row],[Paired WTG Generation for loss calculation]]/24)*Table6[[#This Row],[Breakdown Time]],"")</f>
        <v>97.147222222222055</v>
      </c>
      <c r="AB1017" s="107" t="s">
        <v>478</v>
      </c>
      <c r="AC1017" s="105"/>
      <c r="AD1017" s="105"/>
    </row>
    <row r="1018" spans="1:30">
      <c r="A1018" s="105">
        <f t="shared" si="15"/>
        <v>1017</v>
      </c>
      <c r="B1018" s="371">
        <f>YEAR(Table6[[#This Row],[Date]])+IF(MONTH(Table6[[#This Row],[Date]])&gt;=4,1,0)</f>
        <v>2026</v>
      </c>
      <c r="C1018" s="372">
        <f>YEAR(Table6[[#This Row],[Date]])</f>
        <v>2025</v>
      </c>
      <c r="D1018" s="105" t="s">
        <v>490</v>
      </c>
      <c r="E1018" s="119">
        <f>Table6[[#This Row],[Date]]-DAY(Table6[[#This Row],[Date]])+1</f>
        <v>45839</v>
      </c>
      <c r="F1018" s="373">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105"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77">
        <f>Table6[[#This Row],[Breakdown Time]]*(1/39)</f>
        <v>0.61537749287749288</v>
      </c>
      <c r="X1018" s="336" t="s">
        <v>1212</v>
      </c>
      <c r="Y1018" s="352" t="s">
        <v>143</v>
      </c>
      <c r="Z1018" s="105">
        <v>4072</v>
      </c>
      <c r="AA1018" s="107">
        <f>IFERROR((Table6[[#This Row],[Paired WTG Generation for loss calculation]]/24)*Table6[[#This Row],[Breakdown Time]],"")</f>
        <v>4071.9528703703704</v>
      </c>
      <c r="AB1018" s="107" t="s">
        <v>478</v>
      </c>
      <c r="AC1018" s="105"/>
      <c r="AD1018" s="105"/>
    </row>
    <row r="1019" spans="1:30">
      <c r="A1019" s="105">
        <f t="shared" si="15"/>
        <v>1018</v>
      </c>
      <c r="B1019" s="371">
        <f>YEAR(Table6[[#This Row],[Date]])+IF(MONTH(Table6[[#This Row],[Date]])&gt;=4,1,0)</f>
        <v>2026</v>
      </c>
      <c r="C1019" s="372">
        <f>YEAR(Table6[[#This Row],[Date]])</f>
        <v>2025</v>
      </c>
      <c r="D1019" s="105" t="s">
        <v>490</v>
      </c>
      <c r="E1019" s="119">
        <f>Table6[[#This Row],[Date]]-DAY(Table6[[#This Row],[Date]])+1</f>
        <v>45839</v>
      </c>
      <c r="F1019" s="373">
        <v>45858</v>
      </c>
      <c r="G1019" s="374" t="s">
        <v>115</v>
      </c>
      <c r="H1019" s="39" t="str">
        <f>_xlfn.XLOOKUP(Table6[[#This Row],[Affected WTG]],'Basic Data'!$A:$A,'Basic Data'!$B:$B)</f>
        <v>PWEGPL</v>
      </c>
      <c r="I1019" s="39" t="str">
        <f>_xlfn.XLOOKUP(Table6[[#This Row],[Affected WTG]],'Basic Data'!$A:$A,'Basic Data'!$C:$C)</f>
        <v>MSEDCL</v>
      </c>
      <c r="J1019" s="381">
        <f>IFERROR(VLOOKUP(Table6[[#This Row],[Affected WTG]],'Basic Data'!$A$3:$E$56,5,0),"")</f>
        <v>2.564102564102564E-2</v>
      </c>
      <c r="K1019" s="105">
        <v>207</v>
      </c>
      <c r="L1019" s="39" t="str">
        <f>IFERROR(VLOOKUP(Table6[[#This Row],[Error Code]],'Basic Data'!$T:$U,2,0),"")</f>
        <v>Hydraulic Oil High Temperature</v>
      </c>
      <c r="M1019" s="346" t="s">
        <v>462</v>
      </c>
      <c r="N1019" s="105" t="s">
        <v>1270</v>
      </c>
      <c r="O1019" s="330">
        <v>0.46319444444444446</v>
      </c>
      <c r="P1019" s="330">
        <v>0.49166666666666664</v>
      </c>
      <c r="Q1019" s="330">
        <v>0.56666666666666665</v>
      </c>
      <c r="R1019" s="382">
        <f>IF(Table6[[#This Row],[Work Start TimeStamp]]="","",(Table6[[#This Row],[Work Start TimeStamp]]-Table6[[#This Row],[Fault Start TimeStamp]])*24)</f>
        <v>0.68333333333333224</v>
      </c>
      <c r="S1019" s="382">
        <f>(Table6[[#This Row],[Fault Clearance time]]-Table6[[#This Row],[Work Start TimeStamp]])*24</f>
        <v>1.8000000000000003</v>
      </c>
      <c r="T1019" s="385">
        <f>(Table6[[#This Row],[Fault Clearance time]]-Table6[[#This Row],[Fault Start TimeStamp]])*24</f>
        <v>2.4833333333333325</v>
      </c>
      <c r="U1019" s="346" t="s">
        <v>1391</v>
      </c>
      <c r="V1019" s="346" t="s">
        <v>463</v>
      </c>
      <c r="W1019" s="377">
        <f>Table6[[#This Row],[Breakdown Time]]*(1/39)</f>
        <v>6.3675213675213657E-2</v>
      </c>
      <c r="X1019" s="337" t="s">
        <v>465</v>
      </c>
      <c r="Y1019" s="346" t="s">
        <v>121</v>
      </c>
      <c r="Z1019" s="105">
        <v>4215</v>
      </c>
      <c r="AA1019" s="107">
        <f>IFERROR((Table6[[#This Row],[Paired WTG Generation for loss calculation]]/24)*Table6[[#This Row],[Breakdown Time]],"")</f>
        <v>436.13541666666652</v>
      </c>
      <c r="AB1019" s="107" t="s">
        <v>478</v>
      </c>
      <c r="AC1019" s="105"/>
      <c r="AD1019" s="105"/>
    </row>
    <row r="1020" spans="1:30">
      <c r="A1020" s="105">
        <f t="shared" si="15"/>
        <v>1019</v>
      </c>
      <c r="B1020" s="371">
        <f>YEAR(Table6[[#This Row],[Date]])+IF(MONTH(Table6[[#This Row],[Date]])&gt;=4,1,0)</f>
        <v>2026</v>
      </c>
      <c r="C1020" s="372">
        <f>YEAR(Table6[[#This Row],[Date]])</f>
        <v>2025</v>
      </c>
      <c r="D1020" s="105" t="s">
        <v>490</v>
      </c>
      <c r="E1020" s="119">
        <f>Table6[[#This Row],[Date]]-DAY(Table6[[#This Row],[Date]])+1</f>
        <v>45839</v>
      </c>
      <c r="F1020" s="373">
        <v>45858</v>
      </c>
      <c r="G1020" s="374" t="s">
        <v>125</v>
      </c>
      <c r="H1020" s="39" t="str">
        <f>_xlfn.XLOOKUP(Table6[[#This Row],[Affected WTG]],'Basic Data'!$A:$A,'Basic Data'!$B:$B)</f>
        <v>PWEGPL</v>
      </c>
      <c r="I1020" s="39" t="str">
        <f>_xlfn.XLOOKUP(Table6[[#This Row],[Affected WTG]],'Basic Data'!$A:$A,'Basic Data'!$C:$C)</f>
        <v>MSEDCL</v>
      </c>
      <c r="J1020" s="381">
        <f>IFERROR(VLOOKUP(Table6[[#This Row],[Affected WTG]],'Basic Data'!$A$3:$E$56,5,0),"")</f>
        <v>2.564102564102564E-2</v>
      </c>
      <c r="K1020" s="105">
        <v>2118</v>
      </c>
      <c r="L1020" s="39" t="str">
        <f>IFERROR(VLOOKUP(Table6[[#This Row],[Error Code]],'Basic Data'!$T:$U,2,0),"")</f>
        <v>Bus Error - Interbus Failure</v>
      </c>
      <c r="M1020" s="346" t="s">
        <v>462</v>
      </c>
      <c r="N1020" s="105" t="s">
        <v>1270</v>
      </c>
      <c r="O1020" s="330">
        <v>0.4513888888888889</v>
      </c>
      <c r="P1020" s="330">
        <v>0.46805555555555556</v>
      </c>
      <c r="Q1020" s="330">
        <v>0.49305555555555558</v>
      </c>
      <c r="R1020" s="382">
        <f>IF(Table6[[#This Row],[Work Start TimeStamp]]="","",(Table6[[#This Row],[Work Start TimeStamp]]-Table6[[#This Row],[Fault Start TimeStamp]])*24)</f>
        <v>0.39999999999999991</v>
      </c>
      <c r="S1020" s="382">
        <f>(Table6[[#This Row],[Fault Clearance time]]-Table6[[#This Row],[Work Start TimeStamp]])*24</f>
        <v>0.60000000000000053</v>
      </c>
      <c r="T1020" s="385">
        <f>(Table6[[#This Row],[Fault Clearance time]]-Table6[[#This Row],[Fault Start TimeStamp]])*24</f>
        <v>1.0000000000000004</v>
      </c>
      <c r="U1020" s="346" t="s">
        <v>612</v>
      </c>
      <c r="V1020" s="346" t="s">
        <v>463</v>
      </c>
      <c r="W1020" s="377">
        <f>Table6[[#This Row],[Breakdown Time]]*(1/39)</f>
        <v>2.5641025641025651E-2</v>
      </c>
      <c r="X1020" s="337" t="s">
        <v>465</v>
      </c>
      <c r="Y1020" s="346" t="s">
        <v>124</v>
      </c>
      <c r="Z1020" s="105">
        <v>4224</v>
      </c>
      <c r="AA1020" s="107">
        <f>IFERROR((Table6[[#This Row],[Paired WTG Generation for loss calculation]]/24)*Table6[[#This Row],[Breakdown Time]],"")</f>
        <v>176.00000000000009</v>
      </c>
      <c r="AB1020" s="107" t="s">
        <v>478</v>
      </c>
      <c r="AC1020" s="105"/>
      <c r="AD1020" s="105"/>
    </row>
    <row r="1021" spans="1:30">
      <c r="A1021" s="105">
        <f t="shared" si="15"/>
        <v>1020</v>
      </c>
      <c r="B1021" s="371">
        <f>YEAR(Table6[[#This Row],[Date]])+IF(MONTH(Table6[[#This Row],[Date]])&gt;=4,1,0)</f>
        <v>2026</v>
      </c>
      <c r="C1021" s="372">
        <f>YEAR(Table6[[#This Row],[Date]])</f>
        <v>2025</v>
      </c>
      <c r="D1021" s="105" t="s">
        <v>490</v>
      </c>
      <c r="E1021" s="119">
        <f>Table6[[#This Row],[Date]]-DAY(Table6[[#This Row],[Date]])+1</f>
        <v>45839</v>
      </c>
      <c r="F1021" s="373">
        <v>45858</v>
      </c>
      <c r="G1021" s="374" t="s">
        <v>144</v>
      </c>
      <c r="H1021" s="39" t="str">
        <f>_xlfn.XLOOKUP(Table6[[#This Row],[Affected WTG]],'Basic Data'!$A:$A,'Basic Data'!$B:$B)</f>
        <v>PWEGPL</v>
      </c>
      <c r="I1021" s="39" t="str">
        <f>_xlfn.XLOOKUP(Table6[[#This Row],[Affected WTG]],'Basic Data'!$A:$A,'Basic Data'!$C:$C)</f>
        <v>MSEDCL</v>
      </c>
      <c r="J1021" s="381">
        <f>IFERROR(VLOOKUP(Table6[[#This Row],[Affected WTG]],'Basic Data'!$A$3:$E$56,5,0),"")</f>
        <v>2.564102564102564E-2</v>
      </c>
      <c r="K1021" s="105">
        <v>5203</v>
      </c>
      <c r="L1021" s="39" t="str">
        <f>IFERROR(VLOOKUP(Table6[[#This Row],[Error Code]],'Basic Data'!$T:$U,2,0),"")</f>
        <v>Heating/Coolant Thermal Magnetic Failure</v>
      </c>
      <c r="M1021" s="346" t="s">
        <v>462</v>
      </c>
      <c r="N1021" s="105" t="s">
        <v>1270</v>
      </c>
      <c r="O1021" s="330">
        <v>0.30694444444444446</v>
      </c>
      <c r="P1021" s="330">
        <v>0.33194444444444443</v>
      </c>
      <c r="Q1021" s="330">
        <v>0.33333333333333331</v>
      </c>
      <c r="R1021" s="382">
        <f>IF(Table6[[#This Row],[Work Start TimeStamp]]="","",(Table6[[#This Row],[Work Start TimeStamp]]-Table6[[#This Row],[Fault Start TimeStamp]])*24)</f>
        <v>0.5999999999999992</v>
      </c>
      <c r="S1021" s="382">
        <f>(Table6[[#This Row],[Fault Clearance time]]-Table6[[#This Row],[Work Start TimeStamp]])*24</f>
        <v>3.3333333333333215E-2</v>
      </c>
      <c r="T1021" s="385">
        <f>(Table6[[#This Row],[Fault Clearance time]]-Table6[[#This Row],[Fault Start TimeStamp]])*24</f>
        <v>0.63333333333333242</v>
      </c>
      <c r="U1021" s="346" t="s">
        <v>493</v>
      </c>
      <c r="V1021" s="346" t="s">
        <v>463</v>
      </c>
      <c r="W1021" s="377">
        <f>Table6[[#This Row],[Breakdown Time]]*(1/39)</f>
        <v>1.6239316239316216E-2</v>
      </c>
      <c r="X1021" s="337" t="s">
        <v>465</v>
      </c>
      <c r="Y1021" s="346" t="s">
        <v>143</v>
      </c>
      <c r="Z1021" s="105">
        <v>4072</v>
      </c>
      <c r="AA1021" s="107">
        <f>IFERROR((Table6[[#This Row],[Paired WTG Generation for loss calculation]]/24)*Table6[[#This Row],[Breakdown Time]],"")</f>
        <v>107.45555555555539</v>
      </c>
      <c r="AB1021" s="107" t="s">
        <v>478</v>
      </c>
      <c r="AC1021" s="105"/>
      <c r="AD1021" s="105"/>
    </row>
    <row r="1022" spans="1:30">
      <c r="A1022" s="105">
        <f t="shared" si="15"/>
        <v>1021</v>
      </c>
      <c r="B1022" s="371">
        <f>YEAR(Table6[[#This Row],[Date]])+IF(MONTH(Table6[[#This Row],[Date]])&gt;=4,1,0)</f>
        <v>2026</v>
      </c>
      <c r="C1022" s="372">
        <f>YEAR(Table6[[#This Row],[Date]])</f>
        <v>2025</v>
      </c>
      <c r="D1022" s="105" t="s">
        <v>490</v>
      </c>
      <c r="E1022" s="119">
        <f>Table6[[#This Row],[Date]]-DAY(Table6[[#This Row],[Date]])+1</f>
        <v>45839</v>
      </c>
      <c r="F1022" s="373">
        <v>45858</v>
      </c>
      <c r="G1022" s="374" t="s">
        <v>144</v>
      </c>
      <c r="H1022" s="39" t="str">
        <f>_xlfn.XLOOKUP(Table6[[#This Row],[Affected WTG]],'Basic Data'!$A:$A,'Basic Data'!$B:$B)</f>
        <v>PWEGPL</v>
      </c>
      <c r="I1022" s="39" t="str">
        <f>_xlfn.XLOOKUP(Table6[[#This Row],[Affected WTG]],'Basic Data'!$A:$A,'Basic Data'!$C:$C)</f>
        <v>MSEDCL</v>
      </c>
      <c r="J1022" s="381">
        <f>IFERROR(VLOOKUP(Table6[[#This Row],[Affected WTG]],'Basic Data'!$A$3:$E$56,5,0),"")</f>
        <v>2.564102564102564E-2</v>
      </c>
      <c r="K1022" s="105">
        <v>5203</v>
      </c>
      <c r="L1022" s="39" t="str">
        <f>IFERROR(VLOOKUP(Table6[[#This Row],[Error Code]],'Basic Data'!$T:$U,2,0),"")</f>
        <v>Heating/Coolant Thermal Magnetic Failure</v>
      </c>
      <c r="M1022" s="346" t="s">
        <v>462</v>
      </c>
      <c r="N1022" s="105" t="s">
        <v>1270</v>
      </c>
      <c r="O1022" s="330">
        <v>0.45277777777777778</v>
      </c>
      <c r="P1022" s="330">
        <v>0.47638888888888886</v>
      </c>
      <c r="Q1022" s="330">
        <v>0.52777777777777779</v>
      </c>
      <c r="R1022" s="382">
        <f>IF(Table6[[#This Row],[Work Start TimeStamp]]="","",(Table6[[#This Row],[Work Start TimeStamp]]-Table6[[#This Row],[Fault Start TimeStamp]])*24)</f>
        <v>0.56666666666666599</v>
      </c>
      <c r="S1022" s="382">
        <f>(Table6[[#This Row],[Fault Clearance time]]-Table6[[#This Row],[Work Start TimeStamp]])*24</f>
        <v>1.2333333333333343</v>
      </c>
      <c r="T1022" s="385">
        <f>(Table6[[#This Row],[Fault Clearance time]]-Table6[[#This Row],[Fault Start TimeStamp]])*24</f>
        <v>1.8000000000000003</v>
      </c>
      <c r="U1022" s="346" t="s">
        <v>1392</v>
      </c>
      <c r="V1022" s="346" t="s">
        <v>463</v>
      </c>
      <c r="W1022" s="377">
        <f>Table6[[#This Row],[Breakdown Time]]*(1/39)</f>
        <v>4.6153846153846156E-2</v>
      </c>
      <c r="X1022" s="337" t="s">
        <v>465</v>
      </c>
      <c r="Y1022" s="346" t="s">
        <v>143</v>
      </c>
      <c r="Z1022" s="105">
        <v>4072</v>
      </c>
      <c r="AA1022" s="107">
        <f>IFERROR((Table6[[#This Row],[Paired WTG Generation for loss calculation]]/24)*Table6[[#This Row],[Breakdown Time]],"")</f>
        <v>305.40000000000003</v>
      </c>
      <c r="AB1022" s="107" t="s">
        <v>478</v>
      </c>
      <c r="AC1022" s="105"/>
      <c r="AD1022" s="105"/>
    </row>
    <row r="1023" spans="1:30">
      <c r="A1023" s="105">
        <f t="shared" si="15"/>
        <v>1022</v>
      </c>
      <c r="B1023" s="371">
        <f>YEAR(Table6[[#This Row],[Date]])+IF(MONTH(Table6[[#This Row],[Date]])&gt;=4,1,0)</f>
        <v>2026</v>
      </c>
      <c r="C1023" s="372">
        <f>YEAR(Table6[[#This Row],[Date]])</f>
        <v>2025</v>
      </c>
      <c r="D1023" s="105" t="s">
        <v>490</v>
      </c>
      <c r="E1023" s="119">
        <f>Table6[[#This Row],[Date]]-DAY(Table6[[#This Row],[Date]])+1</f>
        <v>45839</v>
      </c>
      <c r="F1023" s="373">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105"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77">
        <f>Table6[[#This Row],[Breakdown Time]]*(1/39)</f>
        <v>0.61537749287749288</v>
      </c>
      <c r="X1023" s="336" t="s">
        <v>1212</v>
      </c>
      <c r="Y1023" s="352" t="s">
        <v>143</v>
      </c>
      <c r="Z1023" s="105">
        <v>6102</v>
      </c>
      <c r="AA1023" s="107">
        <f>IFERROR((Table6[[#This Row],[Paired WTG Generation for loss calculation]]/24)*Table6[[#This Row],[Breakdown Time]],"")</f>
        <v>6101.9293750000006</v>
      </c>
      <c r="AB1023" s="107" t="s">
        <v>478</v>
      </c>
      <c r="AC1023" s="105"/>
      <c r="AD1023" s="105"/>
    </row>
    <row r="1024" spans="1:30">
      <c r="A1024" s="105">
        <f t="shared" si="15"/>
        <v>1023</v>
      </c>
      <c r="B1024" s="371">
        <f>YEAR(Table6[[#This Row],[Date]])+IF(MONTH(Table6[[#This Row],[Date]])&gt;=4,1,0)</f>
        <v>2026</v>
      </c>
      <c r="C1024" s="372">
        <f>YEAR(Table6[[#This Row],[Date]])</f>
        <v>2025</v>
      </c>
      <c r="D1024" s="105" t="s">
        <v>490</v>
      </c>
      <c r="E1024" s="119">
        <f>Table6[[#This Row],[Date]]-DAY(Table6[[#This Row],[Date]])+1</f>
        <v>45839</v>
      </c>
      <c r="F1024" s="373">
        <v>45859</v>
      </c>
      <c r="G1024" s="374" t="s">
        <v>119</v>
      </c>
      <c r="H1024" s="39" t="str">
        <f>_xlfn.XLOOKUP(Table6[[#This Row],[Affected WTG]],'Basic Data'!$A:$A,'Basic Data'!$B:$B)</f>
        <v>PWEGPL</v>
      </c>
      <c r="I1024" s="39" t="str">
        <f>_xlfn.XLOOKUP(Table6[[#This Row],[Affected WTG]],'Basic Data'!$A:$A,'Basic Data'!$C:$C)</f>
        <v>MSEDCL</v>
      </c>
      <c r="J1024" s="381">
        <f>IFERROR(VLOOKUP(Table6[[#This Row],[Affected WTG]],'Basic Data'!$A$3:$E$56,5,0),"")</f>
        <v>2.564102564102564E-2</v>
      </c>
      <c r="K1024" s="105">
        <v>5201</v>
      </c>
      <c r="L1024" s="39" t="str">
        <f>IFERROR(VLOOKUP(Table6[[#This Row],[Error Code]],'Basic Data'!$T:$U,2,0),"")</f>
        <v>Magnetothermic Trigger Of The Stator Protection</v>
      </c>
      <c r="M1024" s="346" t="s">
        <v>462</v>
      </c>
      <c r="N1024" s="105" t="s">
        <v>1270</v>
      </c>
      <c r="O1024" s="330">
        <v>0.72916666666666663</v>
      </c>
      <c r="P1024" s="330">
        <v>0.75138888888888888</v>
      </c>
      <c r="Q1024" s="330">
        <v>0.75347222222222221</v>
      </c>
      <c r="R1024" s="382">
        <f>IF(Table6[[#This Row],[Work Start TimeStamp]]="","",(Table6[[#This Row],[Work Start TimeStamp]]-Table6[[#This Row],[Fault Start TimeStamp]])*24)</f>
        <v>0.5333333333333341</v>
      </c>
      <c r="S1024" s="382">
        <f>(Table6[[#This Row],[Fault Clearance time]]-Table6[[#This Row],[Work Start TimeStamp]])*24</f>
        <v>4.9999999999999822E-2</v>
      </c>
      <c r="T1024" s="385">
        <f>(Table6[[#This Row],[Fault Clearance time]]-Table6[[#This Row],[Fault Start TimeStamp]])*24</f>
        <v>0.58333333333333393</v>
      </c>
      <c r="U1024" s="346" t="s">
        <v>491</v>
      </c>
      <c r="V1024" s="346" t="s">
        <v>463</v>
      </c>
      <c r="W1024" s="377">
        <f>Table6[[#This Row],[Breakdown Time]]*(1/39)</f>
        <v>1.4957264957264972E-2</v>
      </c>
      <c r="X1024" s="337" t="s">
        <v>465</v>
      </c>
      <c r="Y1024" s="346" t="s">
        <v>136</v>
      </c>
      <c r="Z1024" s="105">
        <v>5982</v>
      </c>
      <c r="AA1024" s="107">
        <f>IFERROR((Table6[[#This Row],[Paired WTG Generation for loss calculation]]/24)*Table6[[#This Row],[Breakdown Time]],"")</f>
        <v>145.39583333333348</v>
      </c>
      <c r="AB1024" s="107" t="s">
        <v>478</v>
      </c>
      <c r="AC1024" s="105"/>
      <c r="AD1024" s="105"/>
    </row>
    <row r="1025" spans="1:30">
      <c r="A1025" s="105">
        <f t="shared" si="15"/>
        <v>1024</v>
      </c>
      <c r="B1025" s="371">
        <f>YEAR(Table6[[#This Row],[Date]])+IF(MONTH(Table6[[#This Row],[Date]])&gt;=4,1,0)</f>
        <v>2026</v>
      </c>
      <c r="C1025" s="372">
        <f>YEAR(Table6[[#This Row],[Date]])</f>
        <v>2025</v>
      </c>
      <c r="D1025" s="105" t="s">
        <v>490</v>
      </c>
      <c r="E1025" s="119">
        <f>Table6[[#This Row],[Date]]-DAY(Table6[[#This Row],[Date]])+1</f>
        <v>45839</v>
      </c>
      <c r="F1025" s="373">
        <v>45859</v>
      </c>
      <c r="G1025" s="374" t="s">
        <v>130</v>
      </c>
      <c r="H1025" s="39" t="str">
        <f>_xlfn.XLOOKUP(Table6[[#This Row],[Affected WTG]],'Basic Data'!$A:$A,'Basic Data'!$B:$B)</f>
        <v>PWEGPL</v>
      </c>
      <c r="I1025" s="39" t="str">
        <f>_xlfn.XLOOKUP(Table6[[#This Row],[Affected WTG]],'Basic Data'!$A:$A,'Basic Data'!$C:$C)</f>
        <v>MSEDCL</v>
      </c>
      <c r="J1025" s="381">
        <f>IFERROR(VLOOKUP(Table6[[#This Row],[Affected WTG]],'Basic Data'!$A$3:$E$56,5,0),"")</f>
        <v>2.564102564102564E-2</v>
      </c>
      <c r="K1025" s="105">
        <v>700</v>
      </c>
      <c r="L1025" s="39" t="str">
        <f>IFERROR(VLOOKUP(Table6[[#This Row],[Error Code]],'Basic Data'!$T:$U,2,0),"")</f>
        <v>PLC-Converter Communication Error</v>
      </c>
      <c r="M1025" s="346" t="s">
        <v>462</v>
      </c>
      <c r="N1025" s="105" t="s">
        <v>1270</v>
      </c>
      <c r="O1025" s="330">
        <v>0.38541666666666669</v>
      </c>
      <c r="P1025" s="330">
        <v>0.39930555555555558</v>
      </c>
      <c r="Q1025" s="330">
        <v>0.4</v>
      </c>
      <c r="R1025" s="382">
        <f>IF(Table6[[#This Row],[Work Start TimeStamp]]="","",(Table6[[#This Row],[Work Start TimeStamp]]-Table6[[#This Row],[Fault Start TimeStamp]])*24)</f>
        <v>0.33333333333333348</v>
      </c>
      <c r="S1025" s="382">
        <f>(Table6[[#This Row],[Fault Clearance time]]-Table6[[#This Row],[Work Start TimeStamp]])*24</f>
        <v>1.6666666666666607E-2</v>
      </c>
      <c r="T1025" s="385">
        <f>(Table6[[#This Row],[Fault Clearance time]]-Table6[[#This Row],[Fault Start TimeStamp]])*24</f>
        <v>0.35000000000000009</v>
      </c>
      <c r="U1025" s="346" t="s">
        <v>493</v>
      </c>
      <c r="V1025" s="346" t="s">
        <v>463</v>
      </c>
      <c r="W1025" s="377">
        <f>Table6[[#This Row],[Breakdown Time]]*(1/39)</f>
        <v>8.9743589743589772E-3</v>
      </c>
      <c r="X1025" s="337" t="s">
        <v>465</v>
      </c>
      <c r="Y1025" s="346" t="s">
        <v>131</v>
      </c>
      <c r="Z1025" s="105">
        <v>7591</v>
      </c>
      <c r="AA1025" s="107">
        <f>IFERROR((Table6[[#This Row],[Paired WTG Generation for loss calculation]]/24)*Table6[[#This Row],[Breakdown Time]],"")</f>
        <v>110.70208333333336</v>
      </c>
      <c r="AB1025" s="107" t="s">
        <v>478</v>
      </c>
      <c r="AC1025" s="105"/>
      <c r="AD1025" s="105"/>
    </row>
    <row r="1026" spans="1:30">
      <c r="A1026" s="105">
        <f t="shared" si="15"/>
        <v>1025</v>
      </c>
      <c r="B1026" s="371">
        <f>YEAR(Table6[[#This Row],[Date]])+IF(MONTH(Table6[[#This Row],[Date]])&gt;=4,1,0)</f>
        <v>2026</v>
      </c>
      <c r="C1026" s="372">
        <f>YEAR(Table6[[#This Row],[Date]])</f>
        <v>2025</v>
      </c>
      <c r="D1026" s="105" t="s">
        <v>490</v>
      </c>
      <c r="E1026" s="119">
        <f>Table6[[#This Row],[Date]]-DAY(Table6[[#This Row],[Date]])+1</f>
        <v>45839</v>
      </c>
      <c r="F1026" s="373">
        <v>45859</v>
      </c>
      <c r="G1026" s="374" t="s">
        <v>130</v>
      </c>
      <c r="H1026" s="39" t="str">
        <f>_xlfn.XLOOKUP(Table6[[#This Row],[Affected WTG]],'Basic Data'!$A:$A,'Basic Data'!$B:$B)</f>
        <v>PWEGPL</v>
      </c>
      <c r="I1026" s="39" t="str">
        <f>_xlfn.XLOOKUP(Table6[[#This Row],[Affected WTG]],'Basic Data'!$A:$A,'Basic Data'!$C:$C)</f>
        <v>MSEDCL</v>
      </c>
      <c r="J1026" s="381">
        <f>IFERROR(VLOOKUP(Table6[[#This Row],[Affected WTG]],'Basic Data'!$A$3:$E$56,5,0),"")</f>
        <v>2.564102564102564E-2</v>
      </c>
      <c r="K1026" s="105" t="s">
        <v>487</v>
      </c>
      <c r="L1026" s="39" t="str">
        <f>IFERROR(VLOOKUP(Table6[[#This Row],[Error Code]],'Basic Data'!$T:$U,2,0),"")</f>
        <v>General Work Stoppage</v>
      </c>
      <c r="M1026" s="346" t="s">
        <v>462</v>
      </c>
      <c r="N1026" s="105" t="s">
        <v>230</v>
      </c>
      <c r="O1026" s="330">
        <v>0.64930555555555558</v>
      </c>
      <c r="P1026" s="330">
        <v>0.64930555555555558</v>
      </c>
      <c r="Q1026" s="330">
        <v>0.76041666666666663</v>
      </c>
      <c r="R1026" s="382">
        <f>IF(Table6[[#This Row],[Work Start TimeStamp]]="","",(Table6[[#This Row],[Work Start TimeStamp]]-Table6[[#This Row],[Fault Start TimeStamp]])*24)</f>
        <v>0</v>
      </c>
      <c r="S1026" s="382">
        <f>(Table6[[#This Row],[Fault Clearance time]]-Table6[[#This Row],[Work Start TimeStamp]])*24</f>
        <v>2.6666666666666652</v>
      </c>
      <c r="T1026" s="385">
        <f>(Table6[[#This Row],[Fault Clearance time]]-Table6[[#This Row],[Fault Start TimeStamp]])*24</f>
        <v>2.6666666666666652</v>
      </c>
      <c r="U1026" s="346" t="s">
        <v>1393</v>
      </c>
      <c r="V1026" s="346" t="s">
        <v>463</v>
      </c>
      <c r="W1026" s="377">
        <f>Table6[[#This Row],[Breakdown Time]]*(1/39)</f>
        <v>6.8376068376068341E-2</v>
      </c>
      <c r="X1026" s="337" t="s">
        <v>464</v>
      </c>
      <c r="Y1026" s="346" t="s">
        <v>131</v>
      </c>
      <c r="Z1026" s="105">
        <v>7591</v>
      </c>
      <c r="AA1026" s="107">
        <f>IFERROR((Table6[[#This Row],[Paired WTG Generation for loss calculation]]/24)*Table6[[#This Row],[Breakdown Time]],"")</f>
        <v>843.444444444444</v>
      </c>
      <c r="AB1026" s="107" t="s">
        <v>478</v>
      </c>
      <c r="AC1026" s="105"/>
      <c r="AD1026" s="105"/>
    </row>
    <row r="1027" spans="1:30">
      <c r="A1027" s="105">
        <f t="shared" si="15"/>
        <v>1026</v>
      </c>
      <c r="B1027" s="371">
        <f>YEAR(Table6[[#This Row],[Date]])+IF(MONTH(Table6[[#This Row],[Date]])&gt;=4,1,0)</f>
        <v>2026</v>
      </c>
      <c r="C1027" s="372">
        <f>YEAR(Table6[[#This Row],[Date]])</f>
        <v>2025</v>
      </c>
      <c r="D1027" s="105" t="s">
        <v>490</v>
      </c>
      <c r="E1027" s="119">
        <f>Table6[[#This Row],[Date]]-DAY(Table6[[#This Row],[Date]])+1</f>
        <v>45839</v>
      </c>
      <c r="F1027" s="373">
        <v>45859</v>
      </c>
      <c r="G1027" s="374" t="s">
        <v>136</v>
      </c>
      <c r="H1027" s="39" t="str">
        <f>_xlfn.XLOOKUP(Table6[[#This Row],[Affected WTG]],'Basic Data'!$A:$A,'Basic Data'!$B:$B)</f>
        <v>PWEGPL</v>
      </c>
      <c r="I1027" s="39" t="str">
        <f>_xlfn.XLOOKUP(Table6[[#This Row],[Affected WTG]],'Basic Data'!$A:$A,'Basic Data'!$C:$C)</f>
        <v>MSEDCL</v>
      </c>
      <c r="J1027" s="381">
        <f>IFERROR(VLOOKUP(Table6[[#This Row],[Affected WTG]],'Basic Data'!$A$3:$E$56,5,0),"")</f>
        <v>2.564102564102564E-2</v>
      </c>
      <c r="K1027" s="105">
        <v>203</v>
      </c>
      <c r="L1027" s="39" t="str">
        <f>IFERROR(VLOOKUP(Table6[[#This Row],[Error Code]],'Basic Data'!$T:$U,2,0),"")</f>
        <v>Low Pressure On Hydraulic Group</v>
      </c>
      <c r="M1027" s="346" t="s">
        <v>462</v>
      </c>
      <c r="N1027" s="105" t="s">
        <v>1270</v>
      </c>
      <c r="O1027" s="330">
        <v>0.72847222222222219</v>
      </c>
      <c r="P1027" s="330">
        <v>0.7583333333333333</v>
      </c>
      <c r="Q1027" s="330">
        <v>0.75972222222222219</v>
      </c>
      <c r="R1027" s="382">
        <f>IF(Table6[[#This Row],[Work Start TimeStamp]]="","",(Table6[[#This Row],[Work Start TimeStamp]]-Table6[[#This Row],[Fault Start TimeStamp]])*24)</f>
        <v>0.71666666666666679</v>
      </c>
      <c r="S1027" s="382">
        <f>(Table6[[#This Row],[Fault Clearance time]]-Table6[[#This Row],[Work Start TimeStamp]])*24</f>
        <v>3.3333333333333215E-2</v>
      </c>
      <c r="T1027" s="385">
        <f>(Table6[[#This Row],[Fault Clearance time]]-Table6[[#This Row],[Fault Start TimeStamp]])*24</f>
        <v>0.75</v>
      </c>
      <c r="U1027" s="346" t="s">
        <v>493</v>
      </c>
      <c r="V1027" s="346" t="s">
        <v>463</v>
      </c>
      <c r="W1027" s="377">
        <f>Table6[[#This Row],[Breakdown Time]]*(1/39)</f>
        <v>1.9230769230769232E-2</v>
      </c>
      <c r="X1027" s="337" t="s">
        <v>465</v>
      </c>
      <c r="Y1027" s="346" t="s">
        <v>119</v>
      </c>
      <c r="Z1027" s="105">
        <v>5949</v>
      </c>
      <c r="AA1027" s="107">
        <f>IFERROR((Table6[[#This Row],[Paired WTG Generation for loss calculation]]/24)*Table6[[#This Row],[Breakdown Time]],"")</f>
        <v>185.90625</v>
      </c>
      <c r="AB1027" s="107" t="s">
        <v>478</v>
      </c>
      <c r="AC1027" s="105"/>
      <c r="AD1027" s="105"/>
    </row>
    <row r="1028" spans="1:30">
      <c r="A1028" s="105">
        <f t="shared" si="15"/>
        <v>1027</v>
      </c>
      <c r="B1028" s="371">
        <f>YEAR(Table6[[#This Row],[Date]])+IF(MONTH(Table6[[#This Row],[Date]])&gt;=4,1,0)</f>
        <v>2026</v>
      </c>
      <c r="C1028" s="372">
        <f>YEAR(Table6[[#This Row],[Date]])</f>
        <v>2025</v>
      </c>
      <c r="D1028" s="105" t="s">
        <v>490</v>
      </c>
      <c r="E1028" s="119">
        <f>Table6[[#This Row],[Date]]-DAY(Table6[[#This Row],[Date]])+1</f>
        <v>45839</v>
      </c>
      <c r="F1028" s="373">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105"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77">
        <f>Table6[[#This Row],[Breakdown Time]]*(1/39)</f>
        <v>0.61537749287749288</v>
      </c>
      <c r="X1028" s="336" t="s">
        <v>1212</v>
      </c>
      <c r="Y1028" s="352" t="s">
        <v>143</v>
      </c>
      <c r="Z1028" s="105">
        <v>5998</v>
      </c>
      <c r="AA1028" s="107">
        <f>IFERROR((Table6[[#This Row],[Paired WTG Generation for loss calculation]]/24)*Table6[[#This Row],[Breakdown Time]],"")</f>
        <v>5997.9305787037038</v>
      </c>
      <c r="AB1028" s="107" t="s">
        <v>478</v>
      </c>
      <c r="AC1028" s="105"/>
      <c r="AD1028" s="105"/>
    </row>
    <row r="1029" spans="1:30">
      <c r="A1029" s="105">
        <f t="shared" ref="A1029:A1068" si="16">A1028+1</f>
        <v>1028</v>
      </c>
      <c r="B1029" s="371">
        <f>YEAR(Table6[[#This Row],[Date]])+IF(MONTH(Table6[[#This Row],[Date]])&gt;=4,1,0)</f>
        <v>2026</v>
      </c>
      <c r="C1029" s="372">
        <f>YEAR(Table6[[#This Row],[Date]])</f>
        <v>2025</v>
      </c>
      <c r="D1029" s="105" t="s">
        <v>490</v>
      </c>
      <c r="E1029" s="119">
        <f>Table6[[#This Row],[Date]]-DAY(Table6[[#This Row],[Date]])+1</f>
        <v>45839</v>
      </c>
      <c r="F1029" s="373">
        <v>45860</v>
      </c>
      <c r="G1029" s="374" t="s">
        <v>118</v>
      </c>
      <c r="H1029" s="39" t="str">
        <f>_xlfn.XLOOKUP(Table6[[#This Row],[Affected WTG]],'Basic Data'!$A:$A,'Basic Data'!$B:$B)</f>
        <v>PWEGPL</v>
      </c>
      <c r="I1029" s="39" t="str">
        <f>_xlfn.XLOOKUP(Table6[[#This Row],[Affected WTG]],'Basic Data'!$A:$A,'Basic Data'!$C:$C)</f>
        <v>MSEDCL</v>
      </c>
      <c r="J1029" s="381">
        <f>IFERROR(VLOOKUP(Table6[[#This Row],[Affected WTG]],'Basic Data'!$A$3:$E$56,5,0),"")</f>
        <v>2.564102564102564E-2</v>
      </c>
      <c r="K1029" s="105">
        <v>700</v>
      </c>
      <c r="L1029" s="39" t="str">
        <f>IFERROR(VLOOKUP(Table6[[#This Row],[Error Code]],'Basic Data'!$T:$U,2,0),"")</f>
        <v>PLC-Converter Communication Error</v>
      </c>
      <c r="M1029" s="346" t="s">
        <v>462</v>
      </c>
      <c r="N1029" s="105" t="s">
        <v>1270</v>
      </c>
      <c r="O1029" s="330">
        <v>0.58680555555555558</v>
      </c>
      <c r="P1029" s="330">
        <v>0.65972222222222221</v>
      </c>
      <c r="Q1029" s="330">
        <v>0.67083333333333328</v>
      </c>
      <c r="R1029" s="382">
        <f>IF(Table6[[#This Row],[Work Start TimeStamp]]="","",(Table6[[#This Row],[Work Start TimeStamp]]-Table6[[#This Row],[Fault Start TimeStamp]])*24)</f>
        <v>1.7499999999999991</v>
      </c>
      <c r="S1029" s="382">
        <f>(Table6[[#This Row],[Fault Clearance time]]-Table6[[#This Row],[Work Start TimeStamp]])*24</f>
        <v>0.26666666666666572</v>
      </c>
      <c r="T1029" s="385">
        <f>(Table6[[#This Row],[Fault Clearance time]]-Table6[[#This Row],[Fault Start TimeStamp]])*24</f>
        <v>2.0166666666666648</v>
      </c>
      <c r="U1029" s="346" t="s">
        <v>493</v>
      </c>
      <c r="V1029" s="346" t="s">
        <v>463</v>
      </c>
      <c r="W1029" s="377">
        <f>Table6[[#This Row],[Breakdown Time]]*(1/39)</f>
        <v>5.1709401709401658E-2</v>
      </c>
      <c r="X1029" s="337" t="s">
        <v>465</v>
      </c>
      <c r="Y1029" s="346" t="s">
        <v>117</v>
      </c>
      <c r="Z1029" s="105">
        <v>6092</v>
      </c>
      <c r="AA1029" s="107">
        <f>IFERROR((Table6[[#This Row],[Paired WTG Generation for loss calculation]]/24)*Table6[[#This Row],[Breakdown Time]],"")</f>
        <v>511.89722222222179</v>
      </c>
      <c r="AB1029" s="107" t="s">
        <v>478</v>
      </c>
      <c r="AC1029" s="105"/>
      <c r="AD1029" s="105"/>
    </row>
    <row r="1030" spans="1:30">
      <c r="A1030" s="105">
        <f t="shared" si="16"/>
        <v>1029</v>
      </c>
      <c r="B1030" s="371">
        <f>YEAR(Table6[[#This Row],[Date]])+IF(MONTH(Table6[[#This Row],[Date]])&gt;=4,1,0)</f>
        <v>2026</v>
      </c>
      <c r="C1030" s="372">
        <f>YEAR(Table6[[#This Row],[Date]])</f>
        <v>2025</v>
      </c>
      <c r="D1030" s="105" t="s">
        <v>490</v>
      </c>
      <c r="E1030" s="119">
        <f>Table6[[#This Row],[Date]]-DAY(Table6[[#This Row],[Date]])+1</f>
        <v>45839</v>
      </c>
      <c r="F1030" s="373">
        <v>45860</v>
      </c>
      <c r="G1030" s="374" t="s">
        <v>130</v>
      </c>
      <c r="H1030" s="39" t="str">
        <f>_xlfn.XLOOKUP(Table6[[#This Row],[Affected WTG]],'Basic Data'!$A:$A,'Basic Data'!$B:$B)</f>
        <v>PWEGPL</v>
      </c>
      <c r="I1030" s="39" t="str">
        <f>_xlfn.XLOOKUP(Table6[[#This Row],[Affected WTG]],'Basic Data'!$A:$A,'Basic Data'!$C:$C)</f>
        <v>MSEDCL</v>
      </c>
      <c r="J1030" s="381">
        <f>IFERROR(VLOOKUP(Table6[[#This Row],[Affected WTG]],'Basic Data'!$A$3:$E$56,5,0),"")</f>
        <v>2.564102564102564E-2</v>
      </c>
      <c r="K1030" s="105">
        <v>700</v>
      </c>
      <c r="L1030" s="39" t="str">
        <f>IFERROR(VLOOKUP(Table6[[#This Row],[Error Code]],'Basic Data'!$T:$U,2,0),"")</f>
        <v>PLC-Converter Communication Error</v>
      </c>
      <c r="M1030" s="346" t="s">
        <v>462</v>
      </c>
      <c r="N1030" s="105" t="s">
        <v>1270</v>
      </c>
      <c r="O1030" s="330">
        <v>0.46319444444444446</v>
      </c>
      <c r="P1030" s="330">
        <v>0.47916666666666669</v>
      </c>
      <c r="Q1030" s="330">
        <v>0.48055555555555557</v>
      </c>
      <c r="R1030" s="382">
        <f>IF(Table6[[#This Row],[Work Start TimeStamp]]="","",(Table6[[#This Row],[Work Start TimeStamp]]-Table6[[#This Row],[Fault Start TimeStamp]])*24)</f>
        <v>0.3833333333333333</v>
      </c>
      <c r="S1030" s="382">
        <f>(Table6[[#This Row],[Fault Clearance time]]-Table6[[#This Row],[Work Start TimeStamp]])*24</f>
        <v>3.3333333333333215E-2</v>
      </c>
      <c r="T1030" s="385">
        <f>(Table6[[#This Row],[Fault Clearance time]]-Table6[[#This Row],[Fault Start TimeStamp]])*24</f>
        <v>0.41666666666666652</v>
      </c>
      <c r="U1030" s="346" t="s">
        <v>493</v>
      </c>
      <c r="V1030" s="346" t="s">
        <v>463</v>
      </c>
      <c r="W1030" s="377">
        <f>Table6[[#This Row],[Breakdown Time]]*(1/39)</f>
        <v>1.0683760683760679E-2</v>
      </c>
      <c r="X1030" s="337" t="s">
        <v>465</v>
      </c>
      <c r="Y1030" s="346" t="s">
        <v>131</v>
      </c>
      <c r="Z1030" s="105">
        <v>6582</v>
      </c>
      <c r="AA1030" s="107">
        <f>IFERROR((Table6[[#This Row],[Paired WTG Generation for loss calculation]]/24)*Table6[[#This Row],[Breakdown Time]],"")</f>
        <v>114.27083333333329</v>
      </c>
      <c r="AB1030" s="107" t="s">
        <v>478</v>
      </c>
      <c r="AC1030" s="105"/>
      <c r="AD1030" s="105"/>
    </row>
    <row r="1031" spans="1:30">
      <c r="A1031" s="105">
        <f t="shared" si="16"/>
        <v>1030</v>
      </c>
      <c r="B1031" s="371">
        <f>YEAR(Table6[[#This Row],[Date]])+IF(MONTH(Table6[[#This Row],[Date]])&gt;=4,1,0)</f>
        <v>2026</v>
      </c>
      <c r="C1031" s="372">
        <f>YEAR(Table6[[#This Row],[Date]])</f>
        <v>2025</v>
      </c>
      <c r="D1031" s="105" t="s">
        <v>490</v>
      </c>
      <c r="E1031" s="119">
        <f>Table6[[#This Row],[Date]]-DAY(Table6[[#This Row],[Date]])+1</f>
        <v>45839</v>
      </c>
      <c r="F1031" s="373">
        <v>45860</v>
      </c>
      <c r="G1031" s="374" t="s">
        <v>130</v>
      </c>
      <c r="H1031" s="39" t="str">
        <f>_xlfn.XLOOKUP(Table6[[#This Row],[Affected WTG]],'Basic Data'!$A:$A,'Basic Data'!$B:$B)</f>
        <v>PWEGPL</v>
      </c>
      <c r="I1031" s="39" t="str">
        <f>_xlfn.XLOOKUP(Table6[[#This Row],[Affected WTG]],'Basic Data'!$A:$A,'Basic Data'!$C:$C)</f>
        <v>MSEDCL</v>
      </c>
      <c r="J1031" s="381">
        <f>IFERROR(VLOOKUP(Table6[[#This Row],[Affected WTG]],'Basic Data'!$A$3:$E$56,5,0),"")</f>
        <v>2.564102564102564E-2</v>
      </c>
      <c r="K1031" s="105">
        <v>700</v>
      </c>
      <c r="L1031" s="39" t="str">
        <f>IFERROR(VLOOKUP(Table6[[#This Row],[Error Code]],'Basic Data'!$T:$U,2,0),"")</f>
        <v>PLC-Converter Communication Error</v>
      </c>
      <c r="M1031" s="346" t="s">
        <v>462</v>
      </c>
      <c r="N1031" s="105" t="s">
        <v>1270</v>
      </c>
      <c r="O1031" s="330">
        <v>0.60763888888888884</v>
      </c>
      <c r="P1031" s="330">
        <v>0.72916666666666663</v>
      </c>
      <c r="Q1031" s="330">
        <v>0.73055555555555551</v>
      </c>
      <c r="R1031" s="382">
        <f>IF(Table6[[#This Row],[Work Start TimeStamp]]="","",(Table6[[#This Row],[Work Start TimeStamp]]-Table6[[#This Row],[Fault Start TimeStamp]])*24)</f>
        <v>2.916666666666667</v>
      </c>
      <c r="S1031" s="382">
        <f>(Table6[[#This Row],[Fault Clearance time]]-Table6[[#This Row],[Work Start TimeStamp]])*24</f>
        <v>3.3333333333333215E-2</v>
      </c>
      <c r="T1031" s="385">
        <f>(Table6[[#This Row],[Fault Clearance time]]-Table6[[#This Row],[Fault Start TimeStamp]])*24</f>
        <v>2.95</v>
      </c>
      <c r="U1031" s="346" t="s">
        <v>493</v>
      </c>
      <c r="V1031" s="346" t="s">
        <v>463</v>
      </c>
      <c r="W1031" s="377">
        <f>Table6[[#This Row],[Breakdown Time]]*(1/39)</f>
        <v>7.564102564102565E-2</v>
      </c>
      <c r="X1031" s="337" t="s">
        <v>465</v>
      </c>
      <c r="Y1031" s="346" t="s">
        <v>131</v>
      </c>
      <c r="Z1031" s="105">
        <v>6582</v>
      </c>
      <c r="AA1031" s="107">
        <f>IFERROR((Table6[[#This Row],[Paired WTG Generation for loss calculation]]/24)*Table6[[#This Row],[Breakdown Time]],"")</f>
        <v>809.03750000000002</v>
      </c>
      <c r="AB1031" s="107" t="s">
        <v>478</v>
      </c>
      <c r="AC1031" s="105"/>
      <c r="AD1031" s="105"/>
    </row>
    <row r="1032" spans="1:30">
      <c r="A1032" s="105">
        <f t="shared" si="16"/>
        <v>1031</v>
      </c>
      <c r="B1032" s="371">
        <f>YEAR(Table6[[#This Row],[Date]])+IF(MONTH(Table6[[#This Row],[Date]])&gt;=4,1,0)</f>
        <v>2026</v>
      </c>
      <c r="C1032" s="372">
        <f>YEAR(Table6[[#This Row],[Date]])</f>
        <v>2025</v>
      </c>
      <c r="D1032" s="105" t="s">
        <v>490</v>
      </c>
      <c r="E1032" s="119">
        <f>Table6[[#This Row],[Date]]-DAY(Table6[[#This Row],[Date]])+1</f>
        <v>45839</v>
      </c>
      <c r="F1032" s="373">
        <v>45860</v>
      </c>
      <c r="G1032" s="374" t="s">
        <v>136</v>
      </c>
      <c r="H1032" s="39" t="str">
        <f>_xlfn.XLOOKUP(Table6[[#This Row],[Affected WTG]],'Basic Data'!$A:$A,'Basic Data'!$B:$B)</f>
        <v>PWEGPL</v>
      </c>
      <c r="I1032" s="39" t="str">
        <f>_xlfn.XLOOKUP(Table6[[#This Row],[Affected WTG]],'Basic Data'!$A:$A,'Basic Data'!$C:$C)</f>
        <v>MSEDCL</v>
      </c>
      <c r="J1032" s="381">
        <f>IFERROR(VLOOKUP(Table6[[#This Row],[Affected WTG]],'Basic Data'!$A$3:$E$56,5,0),"")</f>
        <v>2.564102564102564E-2</v>
      </c>
      <c r="K1032" s="105">
        <v>509</v>
      </c>
      <c r="L1032" s="39" t="str">
        <f>IFERROR(VLOOKUP(Table6[[#This Row],[Error Code]],'Basic Data'!$T:$U,2,0),"")</f>
        <v>Generator Slipping Ring High Temperature</v>
      </c>
      <c r="M1032" s="346" t="s">
        <v>462</v>
      </c>
      <c r="N1032" s="105" t="s">
        <v>1270</v>
      </c>
      <c r="O1032" s="330">
        <v>0.46875</v>
      </c>
      <c r="P1032" s="330">
        <v>0.49166666666666664</v>
      </c>
      <c r="Q1032" s="330">
        <v>0.78194444444444444</v>
      </c>
      <c r="R1032" s="382">
        <f>IF(Table6[[#This Row],[Work Start TimeStamp]]="","",(Table6[[#This Row],[Work Start TimeStamp]]-Table6[[#This Row],[Fault Start TimeStamp]])*24)</f>
        <v>0.54999999999999938</v>
      </c>
      <c r="S1032" s="382">
        <f>(Table6[[#This Row],[Fault Clearance time]]-Table6[[#This Row],[Work Start TimeStamp]])*24</f>
        <v>6.9666666666666668</v>
      </c>
      <c r="T1032" s="385">
        <f>(Table6[[#This Row],[Fault Clearance time]]-Table6[[#This Row],[Fault Start TimeStamp]])*24</f>
        <v>7.5166666666666666</v>
      </c>
      <c r="U1032" s="346" t="s">
        <v>1394</v>
      </c>
      <c r="V1032" s="346" t="s">
        <v>463</v>
      </c>
      <c r="W1032" s="377">
        <f>Table6[[#This Row],[Breakdown Time]]*(1/39)</f>
        <v>0.19273504273504272</v>
      </c>
      <c r="X1032" s="337" t="s">
        <v>465</v>
      </c>
      <c r="Y1032" s="346" t="s">
        <v>119</v>
      </c>
      <c r="Z1032" s="105">
        <v>5967</v>
      </c>
      <c r="AA1032" s="107">
        <f>IFERROR((Table6[[#This Row],[Paired WTG Generation for loss calculation]]/24)*Table6[[#This Row],[Breakdown Time]],"")</f>
        <v>1868.83125</v>
      </c>
      <c r="AB1032" s="107" t="s">
        <v>478</v>
      </c>
      <c r="AC1032" s="105"/>
      <c r="AD1032" s="105"/>
    </row>
    <row r="1033" spans="1:30">
      <c r="A1033" s="105">
        <f t="shared" si="16"/>
        <v>1032</v>
      </c>
      <c r="B1033" s="371">
        <f>YEAR(Table6[[#This Row],[Date]])+IF(MONTH(Table6[[#This Row],[Date]])&gt;=4,1,0)</f>
        <v>2026</v>
      </c>
      <c r="C1033" s="372">
        <f>YEAR(Table6[[#This Row],[Date]])</f>
        <v>2025</v>
      </c>
      <c r="D1033" s="105" t="s">
        <v>490</v>
      </c>
      <c r="E1033" s="119">
        <f>Table6[[#This Row],[Date]]-DAY(Table6[[#This Row],[Date]])+1</f>
        <v>45839</v>
      </c>
      <c r="F1033" s="373">
        <v>45860</v>
      </c>
      <c r="G1033" s="374" t="s">
        <v>144</v>
      </c>
      <c r="H1033" s="39" t="str">
        <f>_xlfn.XLOOKUP(Table6[[#This Row],[Affected WTG]],'Basic Data'!$A:$A,'Basic Data'!$B:$B)</f>
        <v>PWEGPL</v>
      </c>
      <c r="I1033" s="39" t="str">
        <f>_xlfn.XLOOKUP(Table6[[#This Row],[Affected WTG]],'Basic Data'!$A:$A,'Basic Data'!$C:$C)</f>
        <v>MSEDCL</v>
      </c>
      <c r="J1033" s="381">
        <f>IFERROR(VLOOKUP(Table6[[#This Row],[Affected WTG]],'Basic Data'!$A$3:$E$56,5,0),"")</f>
        <v>2.564102564102564E-2</v>
      </c>
      <c r="K1033" s="105" t="s">
        <v>476</v>
      </c>
      <c r="L1033" s="387" t="str">
        <f>IFERROR(VLOOKUP(Table6[[#This Row],[Error Code]],'Basic Data'!$T:$U,2,0),"")</f>
        <v>Manual Stop - Preventive Maintenance Activity</v>
      </c>
      <c r="M1033" s="346" t="s">
        <v>474</v>
      </c>
      <c r="N1033" s="105" t="s">
        <v>230</v>
      </c>
      <c r="O1033" s="330">
        <v>0.48749999999999999</v>
      </c>
      <c r="P1033" s="330">
        <v>0.48749999999999999</v>
      </c>
      <c r="Q1033" s="330">
        <v>0.77083333333333337</v>
      </c>
      <c r="R1033" s="382">
        <f>IF(Table6[[#This Row],[Work Start TimeStamp]]="","",(Table6[[#This Row],[Work Start TimeStamp]]-Table6[[#This Row],[Fault Start TimeStamp]])*24)</f>
        <v>0</v>
      </c>
      <c r="S1033" s="382">
        <f>(Table6[[#This Row],[Fault Clearance time]]-Table6[[#This Row],[Work Start TimeStamp]])*24</f>
        <v>6.8000000000000007</v>
      </c>
      <c r="T1033" s="385">
        <f>(Table6[[#This Row],[Fault Clearance time]]-Table6[[#This Row],[Fault Start TimeStamp]])*24</f>
        <v>6.8000000000000007</v>
      </c>
      <c r="U1033" s="346" t="s">
        <v>582</v>
      </c>
      <c r="V1033" s="346" t="s">
        <v>463</v>
      </c>
      <c r="W1033" s="377">
        <f>Table6[[#This Row],[Breakdown Time]]*(1/39)</f>
        <v>0.17435897435897438</v>
      </c>
      <c r="X1033" s="337" t="s">
        <v>467</v>
      </c>
      <c r="Y1033" s="346" t="s">
        <v>143</v>
      </c>
      <c r="Z1033" s="105">
        <v>5998</v>
      </c>
      <c r="AA1033" s="107">
        <f>IFERROR((Table6[[#This Row],[Paired WTG Generation for loss calculation]]/24)*Table6[[#This Row],[Breakdown Time]],"")</f>
        <v>1699.4333333333334</v>
      </c>
      <c r="AB1033" s="107" t="s">
        <v>478</v>
      </c>
      <c r="AC1033" s="105"/>
      <c r="AD1033" s="105"/>
    </row>
    <row r="1034" spans="1:30">
      <c r="A1034" s="105">
        <f t="shared" si="16"/>
        <v>1033</v>
      </c>
      <c r="B1034" s="371">
        <f>YEAR(Table6[[#This Row],[Date]])+IF(MONTH(Table6[[#This Row],[Date]])&gt;=4,1,0)</f>
        <v>2026</v>
      </c>
      <c r="C1034" s="372">
        <f>YEAR(Table6[[#This Row],[Date]])</f>
        <v>2025</v>
      </c>
      <c r="D1034" s="105" t="s">
        <v>490</v>
      </c>
      <c r="E1034" s="119">
        <f>Table6[[#This Row],[Date]]-DAY(Table6[[#This Row],[Date]])+1</f>
        <v>45839</v>
      </c>
      <c r="F1034" s="373">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105"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77">
        <f>Table6[[#This Row],[Breakdown Time]]*(1/39)</f>
        <v>0.61537749287749288</v>
      </c>
      <c r="X1034" s="336" t="s">
        <v>1212</v>
      </c>
      <c r="Y1034" s="352" t="s">
        <v>143</v>
      </c>
      <c r="Z1034" s="105">
        <v>9357</v>
      </c>
      <c r="AA1034" s="107">
        <f>IFERROR((Table6[[#This Row],[Paired WTG Generation for loss calculation]]/24)*Table6[[#This Row],[Breakdown Time]],"")</f>
        <v>9356.8917013888895</v>
      </c>
      <c r="AB1034" s="107" t="s">
        <v>478</v>
      </c>
      <c r="AC1034" s="105"/>
      <c r="AD1034" s="105"/>
    </row>
    <row r="1035" spans="1:30">
      <c r="A1035" s="105">
        <f t="shared" si="16"/>
        <v>1034</v>
      </c>
      <c r="B1035" s="371">
        <f>YEAR(Table6[[#This Row],[Date]])+IF(MONTH(Table6[[#This Row],[Date]])&gt;=4,1,0)</f>
        <v>2026</v>
      </c>
      <c r="C1035" s="372">
        <f>YEAR(Table6[[#This Row],[Date]])</f>
        <v>2025</v>
      </c>
      <c r="D1035" s="105" t="s">
        <v>490</v>
      </c>
      <c r="E1035" s="119">
        <f>Table6[[#This Row],[Date]]-DAY(Table6[[#This Row],[Date]])+1</f>
        <v>45839</v>
      </c>
      <c r="F1035" s="373">
        <v>45861</v>
      </c>
      <c r="G1035" s="374" t="s">
        <v>115</v>
      </c>
      <c r="H1035" s="39" t="str">
        <f>_xlfn.XLOOKUP(Table6[[#This Row],[Affected WTG]],'Basic Data'!$A:$A,'Basic Data'!$B:$B)</f>
        <v>PWEGPL</v>
      </c>
      <c r="I1035" s="39" t="str">
        <f>_xlfn.XLOOKUP(Table6[[#This Row],[Affected WTG]],'Basic Data'!$A:$A,'Basic Data'!$C:$C)</f>
        <v>MSEDCL</v>
      </c>
      <c r="J1035" s="381">
        <f>IFERROR(VLOOKUP(Table6[[#This Row],[Affected WTG]],'Basic Data'!$A$3:$E$56,5,0),"")</f>
        <v>2.564102564102564E-2</v>
      </c>
      <c r="K1035" s="105">
        <v>5210</v>
      </c>
      <c r="L1035" s="39" t="str">
        <f>IFERROR(VLOOKUP(Table6[[#This Row],[Error Code]],'Basic Data'!$T:$U,2,0),"")</f>
        <v>Failure Of The Contactor's Rotor Power</v>
      </c>
      <c r="M1035" s="346" t="s">
        <v>462</v>
      </c>
      <c r="N1035" s="105" t="s">
        <v>1270</v>
      </c>
      <c r="O1035" s="330">
        <v>0.58472222222222225</v>
      </c>
      <c r="P1035" s="330">
        <v>0.60763888888888884</v>
      </c>
      <c r="Q1035" s="330">
        <v>0.60902777777777772</v>
      </c>
      <c r="R1035" s="382">
        <f>IF(Table6[[#This Row],[Work Start TimeStamp]]="","",(Table6[[#This Row],[Work Start TimeStamp]]-Table6[[#This Row],[Fault Start TimeStamp]])*24)</f>
        <v>0.54999999999999805</v>
      </c>
      <c r="S1035" s="382">
        <f>(Table6[[#This Row],[Fault Clearance time]]-Table6[[#This Row],[Work Start TimeStamp]])*24</f>
        <v>3.3333333333333215E-2</v>
      </c>
      <c r="T1035" s="385">
        <f>(Table6[[#This Row],[Fault Clearance time]]-Table6[[#This Row],[Fault Start TimeStamp]])*24</f>
        <v>0.58333333333333126</v>
      </c>
      <c r="U1035" s="346" t="s">
        <v>493</v>
      </c>
      <c r="V1035" s="346" t="s">
        <v>463</v>
      </c>
      <c r="W1035" s="377">
        <f>Table6[[#This Row],[Breakdown Time]]*(1/39)</f>
        <v>1.4957264957264904E-2</v>
      </c>
      <c r="X1035" s="337" t="s">
        <v>465</v>
      </c>
      <c r="Y1035" s="346" t="s">
        <v>121</v>
      </c>
      <c r="Z1035" s="105">
        <v>9649</v>
      </c>
      <c r="AA1035" s="107">
        <f>IFERROR((Table6[[#This Row],[Paired WTG Generation for loss calculation]]/24)*Table6[[#This Row],[Breakdown Time]],"")</f>
        <v>234.52430555555475</v>
      </c>
      <c r="AB1035" s="107" t="s">
        <v>478</v>
      </c>
      <c r="AC1035" s="105"/>
      <c r="AD1035" s="105"/>
    </row>
    <row r="1036" spans="1:30">
      <c r="A1036" s="105">
        <f t="shared" si="16"/>
        <v>1035</v>
      </c>
      <c r="B1036" s="371">
        <f>YEAR(Table6[[#This Row],[Date]])+IF(MONTH(Table6[[#This Row],[Date]])&gt;=4,1,0)</f>
        <v>2026</v>
      </c>
      <c r="C1036" s="372">
        <f>YEAR(Table6[[#This Row],[Date]])</f>
        <v>2025</v>
      </c>
      <c r="D1036" s="105" t="s">
        <v>490</v>
      </c>
      <c r="E1036" s="119">
        <f>Table6[[#This Row],[Date]]-DAY(Table6[[#This Row],[Date]])+1</f>
        <v>45839</v>
      </c>
      <c r="F1036" s="373">
        <v>45861</v>
      </c>
      <c r="G1036" s="374" t="s">
        <v>130</v>
      </c>
      <c r="H1036" s="39" t="str">
        <f>_xlfn.XLOOKUP(Table6[[#This Row],[Affected WTG]],'Basic Data'!$A:$A,'Basic Data'!$B:$B)</f>
        <v>PWEGPL</v>
      </c>
      <c r="I1036" s="39" t="str">
        <f>_xlfn.XLOOKUP(Table6[[#This Row],[Affected WTG]],'Basic Data'!$A:$A,'Basic Data'!$C:$C)</f>
        <v>MSEDCL</v>
      </c>
      <c r="J1036" s="381">
        <f>IFERROR(VLOOKUP(Table6[[#This Row],[Affected WTG]],'Basic Data'!$A$3:$E$56,5,0),"")</f>
        <v>2.564102564102564E-2</v>
      </c>
      <c r="K1036" s="105">
        <v>700</v>
      </c>
      <c r="L1036" s="39" t="str">
        <f>IFERROR(VLOOKUP(Table6[[#This Row],[Error Code]],'Basic Data'!$T:$U,2,0),"")</f>
        <v>PLC-Converter Communication Error</v>
      </c>
      <c r="M1036" s="346" t="s">
        <v>462</v>
      </c>
      <c r="N1036" s="105" t="s">
        <v>1270</v>
      </c>
      <c r="O1036" s="330">
        <v>0.46527777777777779</v>
      </c>
      <c r="P1036" s="330">
        <v>0.47569444444444442</v>
      </c>
      <c r="Q1036" s="330">
        <v>0.55625000000000002</v>
      </c>
      <c r="R1036" s="382">
        <f>IF(Table6[[#This Row],[Work Start TimeStamp]]="","",(Table6[[#This Row],[Work Start TimeStamp]]-Table6[[#This Row],[Fault Start TimeStamp]])*24)</f>
        <v>0.24999999999999911</v>
      </c>
      <c r="S1036" s="382">
        <f>(Table6[[#This Row],[Fault Clearance time]]-Table6[[#This Row],[Work Start TimeStamp]])*24</f>
        <v>1.9333333333333345</v>
      </c>
      <c r="T1036" s="385">
        <f>(Table6[[#This Row],[Fault Clearance time]]-Table6[[#This Row],[Fault Start TimeStamp]])*24</f>
        <v>2.1833333333333336</v>
      </c>
      <c r="U1036" s="346" t="s">
        <v>1396</v>
      </c>
      <c r="V1036" s="346" t="s">
        <v>463</v>
      </c>
      <c r="W1036" s="377">
        <f>Table6[[#This Row],[Breakdown Time]]*(1/39)</f>
        <v>5.5982905982905985E-2</v>
      </c>
      <c r="X1036" s="337" t="s">
        <v>465</v>
      </c>
      <c r="Y1036" s="346" t="s">
        <v>131</v>
      </c>
      <c r="Z1036" s="105">
        <v>10015</v>
      </c>
      <c r="AA1036" s="107">
        <f>IFERROR((Table6[[#This Row],[Paired WTG Generation for loss calculation]]/24)*Table6[[#This Row],[Breakdown Time]],"")</f>
        <v>911.08680555555566</v>
      </c>
      <c r="AB1036" s="107" t="s">
        <v>478</v>
      </c>
      <c r="AC1036" s="105"/>
      <c r="AD1036" s="105"/>
    </row>
    <row r="1037" spans="1:30">
      <c r="A1037" s="105">
        <f t="shared" si="16"/>
        <v>1036</v>
      </c>
      <c r="B1037" s="371">
        <f>YEAR(Table6[[#This Row],[Date]])+IF(MONTH(Table6[[#This Row],[Date]])&gt;=4,1,0)</f>
        <v>2026</v>
      </c>
      <c r="C1037" s="372">
        <f>YEAR(Table6[[#This Row],[Date]])</f>
        <v>2025</v>
      </c>
      <c r="D1037" s="105" t="s">
        <v>490</v>
      </c>
      <c r="E1037" s="119">
        <f>Table6[[#This Row],[Date]]-DAY(Table6[[#This Row],[Date]])+1</f>
        <v>45839</v>
      </c>
      <c r="F1037" s="373">
        <v>45861</v>
      </c>
      <c r="G1037" s="374" t="s">
        <v>149</v>
      </c>
      <c r="H1037" s="39" t="str">
        <f>_xlfn.XLOOKUP(Table6[[#This Row],[Affected WTG]],'Basic Data'!$A:$A,'Basic Data'!$B:$B)</f>
        <v>PWEGPL</v>
      </c>
      <c r="I1037" s="39" t="str">
        <f>_xlfn.XLOOKUP(Table6[[#This Row],[Affected WTG]],'Basic Data'!$A:$A,'Basic Data'!$C:$C)</f>
        <v>MSEDCL</v>
      </c>
      <c r="J1037" s="381">
        <f>IFERROR(VLOOKUP(Table6[[#This Row],[Affected WTG]],'Basic Data'!$A$3:$E$56,5,0),"")</f>
        <v>2.564102564102564E-2</v>
      </c>
      <c r="K1037" s="105">
        <v>2118</v>
      </c>
      <c r="L1037" s="39" t="str">
        <f>IFERROR(VLOOKUP(Table6[[#This Row],[Error Code]],'Basic Data'!$T:$U,2,0),"")</f>
        <v>Bus Error - Interbus Failure</v>
      </c>
      <c r="M1037" s="346" t="s">
        <v>462</v>
      </c>
      <c r="N1037" s="105" t="s">
        <v>1270</v>
      </c>
      <c r="O1037" s="330">
        <v>0.54305555555555551</v>
      </c>
      <c r="P1037" s="330">
        <v>0.56319444444444444</v>
      </c>
      <c r="Q1037" s="330">
        <v>0.60555555555555551</v>
      </c>
      <c r="R1037" s="382">
        <f>IF(Table6[[#This Row],[Work Start TimeStamp]]="","",(Table6[[#This Row],[Work Start TimeStamp]]-Table6[[#This Row],[Fault Start TimeStamp]])*24)</f>
        <v>0.48333333333333428</v>
      </c>
      <c r="S1037" s="382">
        <f>(Table6[[#This Row],[Fault Clearance time]]-Table6[[#This Row],[Work Start TimeStamp]])*24</f>
        <v>1.0166666666666657</v>
      </c>
      <c r="T1037" s="385">
        <f>(Table6[[#This Row],[Fault Clearance time]]-Table6[[#This Row],[Fault Start TimeStamp]])*24</f>
        <v>1.5</v>
      </c>
      <c r="U1037" s="346" t="s">
        <v>612</v>
      </c>
      <c r="V1037" s="346" t="s">
        <v>463</v>
      </c>
      <c r="W1037" s="377">
        <f>Table6[[#This Row],[Breakdown Time]]*(1/39)</f>
        <v>3.8461538461538464E-2</v>
      </c>
      <c r="X1037" s="337" t="s">
        <v>465</v>
      </c>
      <c r="Y1037" s="346" t="s">
        <v>148</v>
      </c>
      <c r="Z1037" s="105">
        <v>7850</v>
      </c>
      <c r="AA1037" s="107">
        <f>IFERROR((Table6[[#This Row],[Paired WTG Generation for loss calculation]]/24)*Table6[[#This Row],[Breakdown Time]],"")</f>
        <v>490.625</v>
      </c>
      <c r="AB1037" s="107" t="s">
        <v>478</v>
      </c>
      <c r="AC1037" s="105"/>
      <c r="AD1037" s="105"/>
    </row>
    <row r="1038" spans="1:30">
      <c r="A1038" s="105">
        <f t="shared" si="16"/>
        <v>1037</v>
      </c>
      <c r="B1038" s="371">
        <f>YEAR(Table6[[#This Row],[Date]])+IF(MONTH(Table6[[#This Row],[Date]])&gt;=4,1,0)</f>
        <v>2026</v>
      </c>
      <c r="C1038" s="372">
        <f>YEAR(Table6[[#This Row],[Date]])</f>
        <v>2025</v>
      </c>
      <c r="D1038" s="105" t="s">
        <v>490</v>
      </c>
      <c r="E1038" s="119">
        <f>Table6[[#This Row],[Date]]-DAY(Table6[[#This Row],[Date]])+1</f>
        <v>45839</v>
      </c>
      <c r="F1038" s="373">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105"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77">
        <f>Table6[[#This Row],[Breakdown Time]]*(1/39)</f>
        <v>0.61537749287749288</v>
      </c>
      <c r="X1038" s="336" t="s">
        <v>1212</v>
      </c>
      <c r="Y1038" s="352" t="s">
        <v>143</v>
      </c>
      <c r="Z1038" s="105">
        <v>11021</v>
      </c>
      <c r="AA1038" s="107">
        <f>IFERROR((Table6[[#This Row],[Paired WTG Generation for loss calculation]]/24)*Table6[[#This Row],[Breakdown Time]],"")</f>
        <v>11020.87244212963</v>
      </c>
      <c r="AB1038" s="107" t="s">
        <v>478</v>
      </c>
      <c r="AC1038" s="105"/>
      <c r="AD1038" s="105"/>
    </row>
    <row r="1039" spans="1:30">
      <c r="A1039" s="105">
        <f t="shared" si="16"/>
        <v>1038</v>
      </c>
      <c r="B1039" s="371">
        <f>YEAR(Table6[[#This Row],[Date]])+IF(MONTH(Table6[[#This Row],[Date]])&gt;=4,1,0)</f>
        <v>2026</v>
      </c>
      <c r="C1039" s="372">
        <f>YEAR(Table6[[#This Row],[Date]])</f>
        <v>2025</v>
      </c>
      <c r="D1039" s="105" t="s">
        <v>490</v>
      </c>
      <c r="E1039" s="119">
        <f>Table6[[#This Row],[Date]]-DAY(Table6[[#This Row],[Date]])+1</f>
        <v>45839</v>
      </c>
      <c r="F1039" s="373">
        <v>45862</v>
      </c>
      <c r="G1039" s="374" t="s">
        <v>116</v>
      </c>
      <c r="H1039" s="39" t="str">
        <f>_xlfn.XLOOKUP(Table6[[#This Row],[Affected WTG]],'Basic Data'!$A:$A,'Basic Data'!$B:$B)</f>
        <v>PWEGPL</v>
      </c>
      <c r="I1039" s="39" t="str">
        <f>_xlfn.XLOOKUP(Table6[[#This Row],[Affected WTG]],'Basic Data'!$A:$A,'Basic Data'!$C:$C)</f>
        <v>MSEDCL</v>
      </c>
      <c r="J1039" s="381">
        <f>IFERROR(VLOOKUP(Table6[[#This Row],[Affected WTG]],'Basic Data'!$A$3:$E$56,5,0),"")</f>
        <v>2.564102564102564E-2</v>
      </c>
      <c r="K1039" s="105">
        <v>5225</v>
      </c>
      <c r="L1039" s="39" t="str">
        <f>IFERROR(VLOOKUP(Table6[[#This Row],[Error Code]],'Basic Data'!$T:$U,2,0),"")</f>
        <v>Fault In Analog Electronic Power Supply</v>
      </c>
      <c r="M1039" s="346" t="s">
        <v>462</v>
      </c>
      <c r="N1039" s="105" t="s">
        <v>1270</v>
      </c>
      <c r="O1039" s="347">
        <v>0.99027777777777781</v>
      </c>
      <c r="P1039" s="347">
        <v>0.99998842592592596</v>
      </c>
      <c r="Q1039" s="347">
        <v>0.99998842592592596</v>
      </c>
      <c r="R1039" s="382">
        <f>IF(Table6[[#This Row],[Work Start TimeStamp]]="","",(Table6[[#This Row],[Work Start TimeStamp]]-Table6[[#This Row],[Fault Start TimeStamp]])*24)</f>
        <v>0.23305555555555557</v>
      </c>
      <c r="S1039" s="383">
        <f>(Table6[[#This Row],[Fault Clearance time]]-Table6[[#This Row],[Work Start TimeStamp]])*24</f>
        <v>0</v>
      </c>
      <c r="T1039" s="384">
        <f>(Table6[[#This Row],[Fault Clearance time]]-Table6[[#This Row],[Fault Start TimeStamp]])*24</f>
        <v>0.23305555555555557</v>
      </c>
      <c r="U1039" s="346" t="s">
        <v>1400</v>
      </c>
      <c r="V1039" s="351" t="s">
        <v>473</v>
      </c>
      <c r="W1039" s="377">
        <f>Table6[[#This Row],[Breakdown Time]]*(1/39)</f>
        <v>5.9757834757834761E-3</v>
      </c>
      <c r="X1039" s="336" t="s">
        <v>465</v>
      </c>
      <c r="Y1039" s="352" t="s">
        <v>118</v>
      </c>
      <c r="Z1039" s="105">
        <v>12023</v>
      </c>
      <c r="AA1039" s="107">
        <f>IFERROR((Table6[[#This Row],[Paired WTG Generation for loss calculation]]/24)*Table6[[#This Row],[Breakdown Time]],"")</f>
        <v>116.75112268518519</v>
      </c>
      <c r="AB1039" s="107" t="s">
        <v>478</v>
      </c>
      <c r="AC1039" s="105"/>
      <c r="AD1039" s="105"/>
    </row>
    <row r="1040" spans="1:30">
      <c r="A1040" s="105">
        <f t="shared" si="16"/>
        <v>1039</v>
      </c>
      <c r="B1040" s="371">
        <f>YEAR(Table6[[#This Row],[Date]])+IF(MONTH(Table6[[#This Row],[Date]])&gt;=4,1,0)</f>
        <v>2026</v>
      </c>
      <c r="C1040" s="372">
        <f>YEAR(Table6[[#This Row],[Date]])</f>
        <v>2025</v>
      </c>
      <c r="D1040" s="105" t="s">
        <v>490</v>
      </c>
      <c r="E1040" s="119">
        <f>Table6[[#This Row],[Date]]-DAY(Table6[[#This Row],[Date]])+1</f>
        <v>45839</v>
      </c>
      <c r="F1040" s="373">
        <v>45862</v>
      </c>
      <c r="G1040" s="374" t="s">
        <v>130</v>
      </c>
      <c r="H1040" s="39" t="str">
        <f>_xlfn.XLOOKUP(Table6[[#This Row],[Affected WTG]],'Basic Data'!$A:$A,'Basic Data'!$B:$B)</f>
        <v>PWEGPL</v>
      </c>
      <c r="I1040" s="39" t="str">
        <f>_xlfn.XLOOKUP(Table6[[#This Row],[Affected WTG]],'Basic Data'!$A:$A,'Basic Data'!$C:$C)</f>
        <v>MSEDCL</v>
      </c>
      <c r="J1040" s="381">
        <f>IFERROR(VLOOKUP(Table6[[#This Row],[Affected WTG]],'Basic Data'!$A$3:$E$56,5,0),"")</f>
        <v>2.564102564102564E-2</v>
      </c>
      <c r="K1040" s="105">
        <v>700</v>
      </c>
      <c r="L1040" s="39" t="str">
        <f>IFERROR(VLOOKUP(Table6[[#This Row],[Error Code]],'Basic Data'!$T:$U,2,0),"")</f>
        <v>PLC-Converter Communication Error</v>
      </c>
      <c r="M1040" s="346" t="s">
        <v>462</v>
      </c>
      <c r="N1040" s="105" t="s">
        <v>1270</v>
      </c>
      <c r="O1040" s="330">
        <v>0.38541666666666669</v>
      </c>
      <c r="P1040" s="330">
        <v>0.39930555555555558</v>
      </c>
      <c r="Q1040" s="330">
        <v>0.40069444444444446</v>
      </c>
      <c r="R1040" s="382">
        <f>IF(Table6[[#This Row],[Work Start TimeStamp]]="","",(Table6[[#This Row],[Work Start TimeStamp]]-Table6[[#This Row],[Fault Start TimeStamp]])*24)</f>
        <v>0.33333333333333348</v>
      </c>
      <c r="S1040" s="382">
        <f>(Table6[[#This Row],[Fault Clearance time]]-Table6[[#This Row],[Work Start TimeStamp]])*24</f>
        <v>3.3333333333333215E-2</v>
      </c>
      <c r="T1040" s="385">
        <f>(Table6[[#This Row],[Fault Clearance time]]-Table6[[#This Row],[Fault Start TimeStamp]])*24</f>
        <v>0.3666666666666667</v>
      </c>
      <c r="U1040" s="346" t="s">
        <v>493</v>
      </c>
      <c r="V1040" s="346" t="s">
        <v>463</v>
      </c>
      <c r="W1040" s="377">
        <f>Table6[[#This Row],[Breakdown Time]]*(1/39)</f>
        <v>9.401709401709403E-3</v>
      </c>
      <c r="X1040" s="337" t="s">
        <v>465</v>
      </c>
      <c r="Y1040" s="346" t="s">
        <v>131</v>
      </c>
      <c r="Z1040" s="105">
        <v>12849</v>
      </c>
      <c r="AA1040" s="107">
        <f>IFERROR((Table6[[#This Row],[Paired WTG Generation for loss calculation]]/24)*Table6[[#This Row],[Breakdown Time]],"")</f>
        <v>196.30416666666667</v>
      </c>
      <c r="AB1040" s="107" t="s">
        <v>478</v>
      </c>
      <c r="AC1040" s="105"/>
      <c r="AD1040" s="105"/>
    </row>
    <row r="1041" spans="1:30">
      <c r="A1041" s="105">
        <f t="shared" si="16"/>
        <v>1040</v>
      </c>
      <c r="B1041" s="371">
        <f>YEAR(Table6[[#This Row],[Date]])+IF(MONTH(Table6[[#This Row],[Date]])&gt;=4,1,0)</f>
        <v>2026</v>
      </c>
      <c r="C1041" s="372">
        <f>YEAR(Table6[[#This Row],[Date]])</f>
        <v>2025</v>
      </c>
      <c r="D1041" s="105" t="s">
        <v>490</v>
      </c>
      <c r="E1041" s="119">
        <f>Table6[[#This Row],[Date]]-DAY(Table6[[#This Row],[Date]])+1</f>
        <v>45839</v>
      </c>
      <c r="F1041" s="373">
        <v>45862</v>
      </c>
      <c r="G1041" s="374" t="s">
        <v>130</v>
      </c>
      <c r="H1041" s="39" t="str">
        <f>_xlfn.XLOOKUP(Table6[[#This Row],[Affected WTG]],'Basic Data'!$A:$A,'Basic Data'!$B:$B)</f>
        <v>PWEGPL</v>
      </c>
      <c r="I1041" s="39" t="str">
        <f>_xlfn.XLOOKUP(Table6[[#This Row],[Affected WTG]],'Basic Data'!$A:$A,'Basic Data'!$C:$C)</f>
        <v>MSEDCL</v>
      </c>
      <c r="J1041" s="381">
        <f>IFERROR(VLOOKUP(Table6[[#This Row],[Affected WTG]],'Basic Data'!$A$3:$E$56,5,0),"")</f>
        <v>2.564102564102564E-2</v>
      </c>
      <c r="K1041" s="105">
        <v>700</v>
      </c>
      <c r="L1041" s="39" t="str">
        <f>IFERROR(VLOOKUP(Table6[[#This Row],[Error Code]],'Basic Data'!$T:$U,2,0),"")</f>
        <v>PLC-Converter Communication Error</v>
      </c>
      <c r="M1041" s="346" t="s">
        <v>462</v>
      </c>
      <c r="N1041" s="105" t="s">
        <v>1270</v>
      </c>
      <c r="O1041" s="330">
        <v>0.75555555555555554</v>
      </c>
      <c r="P1041" s="330">
        <v>0.78263888888888888</v>
      </c>
      <c r="Q1041" s="330">
        <v>0.99998842592592596</v>
      </c>
      <c r="R1041" s="382">
        <f>IF(Table6[[#This Row],[Work Start TimeStamp]]="","",(Table6[[#This Row],[Work Start TimeStamp]]-Table6[[#This Row],[Fault Start TimeStamp]])*24)</f>
        <v>0.65000000000000036</v>
      </c>
      <c r="S1041" s="382">
        <f>(Table6[[#This Row],[Fault Clearance time]]-Table6[[#This Row],[Work Start TimeStamp]])*24</f>
        <v>5.2163888888888899</v>
      </c>
      <c r="T1041" s="385">
        <f>(Table6[[#This Row],[Fault Clearance time]]-Table6[[#This Row],[Fault Start TimeStamp]])*24</f>
        <v>5.8663888888888902</v>
      </c>
      <c r="U1041" s="346" t="s">
        <v>1397</v>
      </c>
      <c r="V1041" s="346" t="s">
        <v>463</v>
      </c>
      <c r="W1041" s="377">
        <f>Table6[[#This Row],[Breakdown Time]]*(1/39)</f>
        <v>0.15042022792022794</v>
      </c>
      <c r="X1041" s="337" t="s">
        <v>465</v>
      </c>
      <c r="Y1041" s="346" t="s">
        <v>131</v>
      </c>
      <c r="Z1041" s="105">
        <v>12849</v>
      </c>
      <c r="AA1041" s="107">
        <f>IFERROR((Table6[[#This Row],[Paired WTG Generation for loss calculation]]/24)*Table6[[#This Row],[Breakdown Time]],"")</f>
        <v>3140.7179513888896</v>
      </c>
      <c r="AB1041" s="107" t="s">
        <v>478</v>
      </c>
      <c r="AC1041" s="105"/>
      <c r="AD1041" s="105"/>
    </row>
    <row r="1042" spans="1:30">
      <c r="A1042" s="105">
        <f t="shared" si="16"/>
        <v>1041</v>
      </c>
      <c r="B1042" s="371">
        <f>YEAR(Table6[[#This Row],[Date]])+IF(MONTH(Table6[[#This Row],[Date]])&gt;=4,1,0)</f>
        <v>2026</v>
      </c>
      <c r="C1042" s="372">
        <f>YEAR(Table6[[#This Row],[Date]])</f>
        <v>2025</v>
      </c>
      <c r="D1042" s="105" t="s">
        <v>490</v>
      </c>
      <c r="E1042" s="119">
        <f>Table6[[#This Row],[Date]]-DAY(Table6[[#This Row],[Date]])+1</f>
        <v>45839</v>
      </c>
      <c r="F1042" s="373">
        <v>45862</v>
      </c>
      <c r="G1042" s="374" t="s">
        <v>143</v>
      </c>
      <c r="H1042" s="39" t="str">
        <f>_xlfn.XLOOKUP(Table6[[#This Row],[Affected WTG]],'Basic Data'!$A:$A,'Basic Data'!$B:$B)</f>
        <v>PWEGPL</v>
      </c>
      <c r="I1042" s="39" t="str">
        <f>_xlfn.XLOOKUP(Table6[[#This Row],[Affected WTG]],'Basic Data'!$A:$A,'Basic Data'!$C:$C)</f>
        <v>MSEDCL</v>
      </c>
      <c r="J1042" s="381">
        <f>IFERROR(VLOOKUP(Table6[[#This Row],[Affected WTG]],'Basic Data'!$A$3:$E$56,5,0),"")</f>
        <v>2.564102564102564E-2</v>
      </c>
      <c r="K1042" s="105">
        <v>5222</v>
      </c>
      <c r="L1042" s="39" t="str">
        <f>IFERROR(VLOOKUP(Table6[[#This Row],[Error Code]],'Basic Data'!$T:$U,2,0),"")</f>
        <v>Speed Read Incorrectly</v>
      </c>
      <c r="M1042" s="346" t="s">
        <v>462</v>
      </c>
      <c r="N1042" s="105" t="s">
        <v>1270</v>
      </c>
      <c r="O1042" s="330">
        <v>2.5694444444444443E-2</v>
      </c>
      <c r="P1042" s="330">
        <v>0.05</v>
      </c>
      <c r="Q1042" s="330">
        <v>0.13541666666666666</v>
      </c>
      <c r="R1042" s="382">
        <f>IF(Table6[[#This Row],[Work Start TimeStamp]]="","",(Table6[[#This Row],[Work Start TimeStamp]]-Table6[[#This Row],[Fault Start TimeStamp]])*24)</f>
        <v>0.58333333333333348</v>
      </c>
      <c r="S1042" s="382">
        <f>(Table6[[#This Row],[Fault Clearance time]]-Table6[[#This Row],[Work Start TimeStamp]])*24</f>
        <v>2.0499999999999998</v>
      </c>
      <c r="T1042" s="385">
        <f>(Table6[[#This Row],[Fault Clearance time]]-Table6[[#This Row],[Fault Start TimeStamp]])*24</f>
        <v>2.6333333333333333</v>
      </c>
      <c r="U1042" s="346" t="s">
        <v>1398</v>
      </c>
      <c r="V1042" s="346" t="s">
        <v>463</v>
      </c>
      <c r="W1042" s="377">
        <f>Table6[[#This Row],[Breakdown Time]]*(1/39)</f>
        <v>6.7521367521367517E-2</v>
      </c>
      <c r="X1042" s="337" t="s">
        <v>465</v>
      </c>
      <c r="Y1042" s="346" t="s">
        <v>144</v>
      </c>
      <c r="Z1042" s="105">
        <v>12030</v>
      </c>
      <c r="AA1042" s="107">
        <f>IFERROR((Table6[[#This Row],[Paired WTG Generation for loss calculation]]/24)*Table6[[#This Row],[Breakdown Time]],"")</f>
        <v>1319.9583333333333</v>
      </c>
      <c r="AB1042" s="107" t="s">
        <v>478</v>
      </c>
      <c r="AC1042" s="105"/>
      <c r="AD1042" s="105"/>
    </row>
    <row r="1043" spans="1:30">
      <c r="A1043" s="105">
        <f t="shared" si="16"/>
        <v>1042</v>
      </c>
      <c r="B1043" s="371">
        <f>YEAR(Table6[[#This Row],[Date]])+IF(MONTH(Table6[[#This Row],[Date]])&gt;=4,1,0)</f>
        <v>2026</v>
      </c>
      <c r="C1043" s="372">
        <f>YEAR(Table6[[#This Row],[Date]])</f>
        <v>2025</v>
      </c>
      <c r="D1043" s="105" t="s">
        <v>490</v>
      </c>
      <c r="E1043" s="119">
        <f>Table6[[#This Row],[Date]]-DAY(Table6[[#This Row],[Date]])+1</f>
        <v>45839</v>
      </c>
      <c r="F1043" s="373">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105"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77">
        <f>Table6[[#This Row],[Breakdown Time]]*(1/39)</f>
        <v>0.61537749287749288</v>
      </c>
      <c r="X1043" s="336" t="s">
        <v>1212</v>
      </c>
      <c r="Y1043" s="352" t="s">
        <v>143</v>
      </c>
      <c r="Z1043" s="105">
        <v>12430</v>
      </c>
      <c r="AA1043" s="107">
        <f>IFERROR((Table6[[#This Row],[Paired WTG Generation for loss calculation]]/24)*Table6[[#This Row],[Breakdown Time]],"")</f>
        <v>12429.85613425926</v>
      </c>
      <c r="AB1043" s="107" t="s">
        <v>478</v>
      </c>
      <c r="AC1043" s="105"/>
      <c r="AD1043" s="105"/>
    </row>
    <row r="1044" spans="1:30">
      <c r="A1044" s="105">
        <f t="shared" si="16"/>
        <v>1043</v>
      </c>
      <c r="B1044" s="371">
        <f>YEAR(Table6[[#This Row],[Date]])+IF(MONTH(Table6[[#This Row],[Date]])&gt;=4,1,0)</f>
        <v>2026</v>
      </c>
      <c r="C1044" s="372">
        <f>YEAR(Table6[[#This Row],[Date]])</f>
        <v>2025</v>
      </c>
      <c r="D1044" s="105" t="s">
        <v>490</v>
      </c>
      <c r="E1044" s="119">
        <f>Table6[[#This Row],[Date]]-DAY(Table6[[#This Row],[Date]])+1</f>
        <v>45839</v>
      </c>
      <c r="F1044" s="373">
        <v>45863</v>
      </c>
      <c r="G1044" s="374" t="s">
        <v>116</v>
      </c>
      <c r="H1044" s="39" t="str">
        <f>_xlfn.XLOOKUP(Table6[[#This Row],[Affected WTG]],'Basic Data'!$A:$A,'Basic Data'!$B:$B)</f>
        <v>PWEGPL</v>
      </c>
      <c r="I1044" s="39" t="str">
        <f>_xlfn.XLOOKUP(Table6[[#This Row],[Affected WTG]],'Basic Data'!$A:$A,'Basic Data'!$C:$C)</f>
        <v>MSEDCL</v>
      </c>
      <c r="J1044" s="381">
        <f>IFERROR(VLOOKUP(Table6[[#This Row],[Affected WTG]],'Basic Data'!$A$3:$E$56,5,0),"")</f>
        <v>2.564102564102564E-2</v>
      </c>
      <c r="K1044" s="105">
        <v>5225</v>
      </c>
      <c r="L1044" s="39" t="str">
        <f>IFERROR(VLOOKUP(Table6[[#This Row],[Error Code]],'Basic Data'!$T:$U,2,0),"")</f>
        <v>Fault In Analog Electronic Power Supply</v>
      </c>
      <c r="M1044" s="346" t="s">
        <v>462</v>
      </c>
      <c r="N1044" s="105" t="s">
        <v>1270</v>
      </c>
      <c r="O1044" s="347">
        <v>0</v>
      </c>
      <c r="P1044" s="347">
        <v>0</v>
      </c>
      <c r="Q1044" s="347">
        <v>0.54166666666666663</v>
      </c>
      <c r="R1044" s="382">
        <f>IF(Table6[[#This Row],[Work Start TimeStamp]]="","",(Table6[[#This Row],[Work Start TimeStamp]]-Table6[[#This Row],[Fault Start TimeStamp]])*24)</f>
        <v>0</v>
      </c>
      <c r="S1044" s="383">
        <f>(Table6[[#This Row],[Fault Clearance time]]-Table6[[#This Row],[Work Start TimeStamp]])*24</f>
        <v>13</v>
      </c>
      <c r="T1044" s="384">
        <f>(Table6[[#This Row],[Fault Clearance time]]-Table6[[#This Row],[Fault Start TimeStamp]])*24</f>
        <v>13</v>
      </c>
      <c r="U1044" s="346" t="s">
        <v>1401</v>
      </c>
      <c r="V1044" s="351" t="s">
        <v>463</v>
      </c>
      <c r="W1044" s="377">
        <f>Table6[[#This Row],[Breakdown Time]]*(1/39)</f>
        <v>0.33333333333333331</v>
      </c>
      <c r="X1044" s="336" t="s">
        <v>465</v>
      </c>
      <c r="Y1044" s="352" t="s">
        <v>118</v>
      </c>
      <c r="Z1044" s="105">
        <v>11321</v>
      </c>
      <c r="AA1044" s="107">
        <f>IFERROR((Table6[[#This Row],[Paired WTG Generation for loss calculation]]/24)*Table6[[#This Row],[Breakdown Time]],"")</f>
        <v>6132.208333333333</v>
      </c>
      <c r="AB1044" s="107" t="s">
        <v>478</v>
      </c>
      <c r="AC1044" s="105"/>
      <c r="AD1044" s="105"/>
    </row>
    <row r="1045" spans="1:30">
      <c r="A1045" s="105">
        <f t="shared" si="16"/>
        <v>1044</v>
      </c>
      <c r="B1045" s="371">
        <f>YEAR(Table6[[#This Row],[Date]])+IF(MONTH(Table6[[#This Row],[Date]])&gt;=4,1,0)</f>
        <v>2026</v>
      </c>
      <c r="C1045" s="372">
        <f>YEAR(Table6[[#This Row],[Date]])</f>
        <v>2025</v>
      </c>
      <c r="D1045" s="105" t="s">
        <v>490</v>
      </c>
      <c r="E1045" s="119">
        <f>Table6[[#This Row],[Date]]-DAY(Table6[[#This Row],[Date]])+1</f>
        <v>45839</v>
      </c>
      <c r="F1045" s="373">
        <v>45863</v>
      </c>
      <c r="G1045" s="374" t="s">
        <v>118</v>
      </c>
      <c r="H1045" s="39" t="str">
        <f>_xlfn.XLOOKUP(Table6[[#This Row],[Affected WTG]],'Basic Data'!$A:$A,'Basic Data'!$B:$B)</f>
        <v>PWEGPL</v>
      </c>
      <c r="I1045" s="39" t="str">
        <f>_xlfn.XLOOKUP(Table6[[#This Row],[Affected WTG]],'Basic Data'!$A:$A,'Basic Data'!$C:$C)</f>
        <v>MSEDCL</v>
      </c>
      <c r="J1045" s="381">
        <f>IFERROR(VLOOKUP(Table6[[#This Row],[Affected WTG]],'Basic Data'!$A$3:$E$56,5,0),"")</f>
        <v>2.564102564102564E-2</v>
      </c>
      <c r="K1045" s="105">
        <v>700</v>
      </c>
      <c r="L1045" s="39" t="str">
        <f>IFERROR(VLOOKUP(Table6[[#This Row],[Error Code]],'Basic Data'!$T:$U,2,0),"")</f>
        <v>PLC-Converter Communication Error</v>
      </c>
      <c r="M1045" s="346" t="s">
        <v>462</v>
      </c>
      <c r="N1045" s="105" t="s">
        <v>1270</v>
      </c>
      <c r="O1045" s="347">
        <v>0.3347222222222222</v>
      </c>
      <c r="P1045" s="347">
        <v>0.35416666666666669</v>
      </c>
      <c r="Q1045" s="347">
        <v>0.35555555555555557</v>
      </c>
      <c r="R1045" s="382">
        <f>IF(Table6[[#This Row],[Work Start TimeStamp]]="","",(Table6[[#This Row],[Work Start TimeStamp]]-Table6[[#This Row],[Fault Start TimeStamp]])*24)</f>
        <v>0.46666666666666767</v>
      </c>
      <c r="S1045" s="383">
        <f>(Table6[[#This Row],[Fault Clearance time]]-Table6[[#This Row],[Work Start TimeStamp]])*24</f>
        <v>3.3333333333333215E-2</v>
      </c>
      <c r="T1045" s="384">
        <f>(Table6[[#This Row],[Fault Clearance time]]-Table6[[#This Row],[Fault Start TimeStamp]])*24</f>
        <v>0.50000000000000089</v>
      </c>
      <c r="U1045" s="346" t="s">
        <v>493</v>
      </c>
      <c r="V1045" s="351" t="s">
        <v>463</v>
      </c>
      <c r="W1045" s="377">
        <f>Table6[[#This Row],[Breakdown Time]]*(1/39)</f>
        <v>1.2820512820512843E-2</v>
      </c>
      <c r="X1045" s="336" t="s">
        <v>465</v>
      </c>
      <c r="Y1045" s="352" t="s">
        <v>117</v>
      </c>
      <c r="Z1045" s="105">
        <v>11742</v>
      </c>
      <c r="AA1045" s="107">
        <f>IFERROR((Table6[[#This Row],[Paired WTG Generation for loss calculation]]/24)*Table6[[#This Row],[Breakdown Time]],"")</f>
        <v>244.62500000000043</v>
      </c>
      <c r="AB1045" s="107" t="s">
        <v>478</v>
      </c>
      <c r="AC1045" s="105"/>
      <c r="AD1045" s="105"/>
    </row>
    <row r="1046" spans="1:30">
      <c r="A1046" s="105">
        <f t="shared" si="16"/>
        <v>1045</v>
      </c>
      <c r="B1046" s="371">
        <f>YEAR(Table6[[#This Row],[Date]])+IF(MONTH(Table6[[#This Row],[Date]])&gt;=4,1,0)</f>
        <v>2026</v>
      </c>
      <c r="C1046" s="372">
        <f>YEAR(Table6[[#This Row],[Date]])</f>
        <v>2025</v>
      </c>
      <c r="D1046" s="105" t="s">
        <v>490</v>
      </c>
      <c r="E1046" s="119">
        <f>Table6[[#This Row],[Date]]-DAY(Table6[[#This Row],[Date]])+1</f>
        <v>45839</v>
      </c>
      <c r="F1046" s="373">
        <v>45863</v>
      </c>
      <c r="G1046" s="374" t="s">
        <v>121</v>
      </c>
      <c r="H1046" s="39" t="str">
        <f>_xlfn.XLOOKUP(Table6[[#This Row],[Affected WTG]],'Basic Data'!$A:$A,'Basic Data'!$B:$B)</f>
        <v>PWEGPL</v>
      </c>
      <c r="I1046" s="39" t="str">
        <f>_xlfn.XLOOKUP(Table6[[#This Row],[Affected WTG]],'Basic Data'!$A:$A,'Basic Data'!$C:$C)</f>
        <v>MSEDCL</v>
      </c>
      <c r="J1046" s="381">
        <f>IFERROR(VLOOKUP(Table6[[#This Row],[Affected WTG]],'Basic Data'!$A$3:$E$56,5,0),"")</f>
        <v>2.564102564102564E-2</v>
      </c>
      <c r="K1046" s="105">
        <v>5225</v>
      </c>
      <c r="L1046" s="39" t="str">
        <f>IFERROR(VLOOKUP(Table6[[#This Row],[Error Code]],'Basic Data'!$T:$U,2,0),"")</f>
        <v>Fault In Analog Electronic Power Supply</v>
      </c>
      <c r="M1046" s="346" t="s">
        <v>462</v>
      </c>
      <c r="N1046" s="105" t="s">
        <v>1270</v>
      </c>
      <c r="O1046" s="347">
        <v>0.89236111111111116</v>
      </c>
      <c r="P1046" s="347">
        <v>0.95138888888888884</v>
      </c>
      <c r="Q1046" s="347">
        <v>0.95277777777777772</v>
      </c>
      <c r="R1046" s="382">
        <f>IF(Table6[[#This Row],[Work Start TimeStamp]]="","",(Table6[[#This Row],[Work Start TimeStamp]]-Table6[[#This Row],[Fault Start TimeStamp]])*24)</f>
        <v>1.4166666666666643</v>
      </c>
      <c r="S1046" s="383">
        <f>(Table6[[#This Row],[Fault Clearance time]]-Table6[[#This Row],[Work Start TimeStamp]])*24</f>
        <v>3.3333333333333215E-2</v>
      </c>
      <c r="T1046" s="384">
        <f>(Table6[[#This Row],[Fault Clearance time]]-Table6[[#This Row],[Fault Start TimeStamp]])*24</f>
        <v>1.4499999999999975</v>
      </c>
      <c r="U1046" s="346" t="s">
        <v>493</v>
      </c>
      <c r="V1046" s="351" t="s">
        <v>463</v>
      </c>
      <c r="W1046" s="377">
        <f>Table6[[#This Row],[Breakdown Time]]*(1/39)</f>
        <v>3.7179487179487117E-2</v>
      </c>
      <c r="X1046" s="336" t="s">
        <v>465</v>
      </c>
      <c r="Y1046" s="352" t="s">
        <v>115</v>
      </c>
      <c r="Z1046" s="105">
        <v>11749</v>
      </c>
      <c r="AA1046" s="107">
        <f>IFERROR((Table6[[#This Row],[Paired WTG Generation for loss calculation]]/24)*Table6[[#This Row],[Breakdown Time]],"")</f>
        <v>709.83541666666542</v>
      </c>
      <c r="AB1046" s="107" t="s">
        <v>478</v>
      </c>
      <c r="AC1046" s="105"/>
      <c r="AD1046" s="105"/>
    </row>
    <row r="1047" spans="1:30">
      <c r="A1047" s="105">
        <f t="shared" si="16"/>
        <v>1046</v>
      </c>
      <c r="B1047" s="371">
        <f>YEAR(Table6[[#This Row],[Date]])+IF(MONTH(Table6[[#This Row],[Date]])&gt;=4,1,0)</f>
        <v>2026</v>
      </c>
      <c r="C1047" s="372">
        <f>YEAR(Table6[[#This Row],[Date]])</f>
        <v>2025</v>
      </c>
      <c r="D1047" s="105" t="s">
        <v>490</v>
      </c>
      <c r="E1047" s="119">
        <f>Table6[[#This Row],[Date]]-DAY(Table6[[#This Row],[Date]])+1</f>
        <v>45839</v>
      </c>
      <c r="F1047" s="373">
        <v>45863</v>
      </c>
      <c r="G1047" s="374" t="s">
        <v>130</v>
      </c>
      <c r="H1047" s="39" t="str">
        <f>_xlfn.XLOOKUP(Table6[[#This Row],[Affected WTG]],'Basic Data'!$A:$A,'Basic Data'!$B:$B)</f>
        <v>PWEGPL</v>
      </c>
      <c r="I1047" s="39" t="str">
        <f>_xlfn.XLOOKUP(Table6[[#This Row],[Affected WTG]],'Basic Data'!$A:$A,'Basic Data'!$C:$C)</f>
        <v>MSEDCL</v>
      </c>
      <c r="J1047" s="381">
        <f>IFERROR(VLOOKUP(Table6[[#This Row],[Affected WTG]],'Basic Data'!$A$3:$E$56,5,0),"")</f>
        <v>2.564102564102564E-2</v>
      </c>
      <c r="K1047" s="105">
        <v>700</v>
      </c>
      <c r="L1047" s="39" t="str">
        <f>IFERROR(VLOOKUP(Table6[[#This Row],[Error Code]],'Basic Data'!$T:$U,2,0),"")</f>
        <v>PLC-Converter Communication Error</v>
      </c>
      <c r="M1047" s="346" t="s">
        <v>462</v>
      </c>
      <c r="N1047" s="105" t="s">
        <v>1270</v>
      </c>
      <c r="O1047" s="347">
        <v>0</v>
      </c>
      <c r="P1047" s="347">
        <v>0</v>
      </c>
      <c r="Q1047" s="347">
        <v>0.53263888888888888</v>
      </c>
      <c r="R1047" s="382">
        <f>IF(Table6[[#This Row],[Work Start TimeStamp]]="","",(Table6[[#This Row],[Work Start TimeStamp]]-Table6[[#This Row],[Fault Start TimeStamp]])*24)</f>
        <v>0</v>
      </c>
      <c r="S1047" s="383">
        <f>(Table6[[#This Row],[Fault Clearance time]]-Table6[[#This Row],[Work Start TimeStamp]])*24</f>
        <v>12.783333333333333</v>
      </c>
      <c r="T1047" s="384">
        <f>(Table6[[#This Row],[Fault Clearance time]]-Table6[[#This Row],[Fault Start TimeStamp]])*24</f>
        <v>12.783333333333333</v>
      </c>
      <c r="U1047" s="346" t="s">
        <v>1402</v>
      </c>
      <c r="V1047" s="351" t="s">
        <v>463</v>
      </c>
      <c r="W1047" s="377">
        <f>Table6[[#This Row],[Breakdown Time]]*(1/39)</f>
        <v>0.32777777777777778</v>
      </c>
      <c r="X1047" s="336" t="s">
        <v>465</v>
      </c>
      <c r="Y1047" s="352" t="s">
        <v>131</v>
      </c>
      <c r="Z1047" s="105">
        <v>16489</v>
      </c>
      <c r="AA1047" s="107">
        <f>IFERROR((Table6[[#This Row],[Paired WTG Generation for loss calculation]]/24)*Table6[[#This Row],[Breakdown Time]],"")</f>
        <v>8782.6826388888876</v>
      </c>
      <c r="AB1047" s="107" t="s">
        <v>478</v>
      </c>
      <c r="AC1047" s="105"/>
      <c r="AD1047" s="105"/>
    </row>
    <row r="1048" spans="1:30">
      <c r="A1048" s="105">
        <f t="shared" si="16"/>
        <v>1047</v>
      </c>
      <c r="B1048" s="371">
        <f>YEAR(Table6[[#This Row],[Date]])+IF(MONTH(Table6[[#This Row],[Date]])&gt;=4,1,0)</f>
        <v>2026</v>
      </c>
      <c r="C1048" s="372">
        <f>YEAR(Table6[[#This Row],[Date]])</f>
        <v>2025</v>
      </c>
      <c r="D1048" s="105" t="s">
        <v>490</v>
      </c>
      <c r="E1048" s="119">
        <f>Table6[[#This Row],[Date]]-DAY(Table6[[#This Row],[Date]])+1</f>
        <v>45839</v>
      </c>
      <c r="F1048" s="373">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105"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77">
        <f>Table6[[#This Row],[Breakdown Time]]*(1/39)</f>
        <v>0.61537749287749288</v>
      </c>
      <c r="X1048" s="336" t="s">
        <v>1212</v>
      </c>
      <c r="Y1048" s="352" t="s">
        <v>143</v>
      </c>
      <c r="Z1048" s="105">
        <v>15550</v>
      </c>
      <c r="AA1048" s="107">
        <f>IFERROR((Table6[[#This Row],[Paired WTG Generation for loss calculation]]/24)*Table6[[#This Row],[Breakdown Time]],"")</f>
        <v>15549.82002314815</v>
      </c>
      <c r="AB1048" s="107" t="s">
        <v>478</v>
      </c>
      <c r="AC1048" s="105"/>
      <c r="AD1048" s="105"/>
    </row>
    <row r="1049" spans="1:30">
      <c r="A1049" s="105">
        <f t="shared" si="16"/>
        <v>1048</v>
      </c>
      <c r="B1049" s="371">
        <f>YEAR(Table6[[#This Row],[Date]])+IF(MONTH(Table6[[#This Row],[Date]])&gt;=4,1,0)</f>
        <v>2026</v>
      </c>
      <c r="C1049" s="372">
        <f>YEAR(Table6[[#This Row],[Date]])</f>
        <v>2025</v>
      </c>
      <c r="D1049" s="105" t="s">
        <v>490</v>
      </c>
      <c r="E1049" s="119">
        <f>Table6[[#This Row],[Date]]-DAY(Table6[[#This Row],[Date]])+1</f>
        <v>45839</v>
      </c>
      <c r="F1049" s="373">
        <v>45864</v>
      </c>
      <c r="G1049" s="374" t="s">
        <v>124</v>
      </c>
      <c r="H1049" s="39" t="str">
        <f>_xlfn.XLOOKUP(Table6[[#This Row],[Affected WTG]],'Basic Data'!$A:$A,'Basic Data'!$B:$B)</f>
        <v>PWEGPL</v>
      </c>
      <c r="I1049" s="39" t="str">
        <f>_xlfn.XLOOKUP(Table6[[#This Row],[Affected WTG]],'Basic Data'!$A:$A,'Basic Data'!$C:$C)</f>
        <v>MSEDCL</v>
      </c>
      <c r="J1049" s="381">
        <f>IFERROR(VLOOKUP(Table6[[#This Row],[Affected WTG]],'Basic Data'!$A$3:$E$56,5,0),"")</f>
        <v>2.564102564102564E-2</v>
      </c>
      <c r="K1049" s="105">
        <v>2119</v>
      </c>
      <c r="L1049" s="39" t="str">
        <f>IFERROR(VLOOKUP(Table6[[#This Row],[Error Code]],'Basic Data'!$T:$U,2,0),"")</f>
        <v>CTRL Error - Processor Stopped</v>
      </c>
      <c r="M1049" s="346" t="s">
        <v>462</v>
      </c>
      <c r="N1049" s="105" t="s">
        <v>1270</v>
      </c>
      <c r="O1049" s="330">
        <v>0.40972222222222221</v>
      </c>
      <c r="P1049" s="330">
        <v>0.43055555555555558</v>
      </c>
      <c r="Q1049" s="330">
        <v>0.44791666666666669</v>
      </c>
      <c r="R1049" s="382">
        <f>IF(Table6[[#This Row],[Work Start TimeStamp]]="","",(Table6[[#This Row],[Work Start TimeStamp]]-Table6[[#This Row],[Fault Start TimeStamp]])*24)</f>
        <v>0.50000000000000089</v>
      </c>
      <c r="S1049" s="382">
        <f>(Table6[[#This Row],[Fault Clearance time]]-Table6[[#This Row],[Work Start TimeStamp]])*24</f>
        <v>0.41666666666666652</v>
      </c>
      <c r="T1049" s="385">
        <f>(Table6[[#This Row],[Fault Clearance time]]-Table6[[#This Row],[Fault Start TimeStamp]])*24</f>
        <v>0.91666666666666741</v>
      </c>
      <c r="U1049" s="346" t="s">
        <v>1403</v>
      </c>
      <c r="V1049" s="346" t="s">
        <v>463</v>
      </c>
      <c r="W1049" s="377">
        <f>Table6[[#This Row],[Breakdown Time]]*(1/39)</f>
        <v>2.3504273504273521E-2</v>
      </c>
      <c r="X1049" s="337" t="s">
        <v>465</v>
      </c>
      <c r="Y1049" s="346" t="s">
        <v>125</v>
      </c>
      <c r="Z1049" s="105">
        <v>17961</v>
      </c>
      <c r="AA1049" s="107">
        <f>IFERROR((Table6[[#This Row],[Paired WTG Generation for loss calculation]]/24)*Table6[[#This Row],[Breakdown Time]],"")</f>
        <v>686.0104166666672</v>
      </c>
      <c r="AB1049" s="107" t="s">
        <v>478</v>
      </c>
      <c r="AC1049" s="105"/>
      <c r="AD1049" s="105"/>
    </row>
    <row r="1050" spans="1:30">
      <c r="A1050" s="105">
        <f t="shared" si="16"/>
        <v>1049</v>
      </c>
      <c r="B1050" s="371">
        <f>YEAR(Table6[[#This Row],[Date]])+IF(MONTH(Table6[[#This Row],[Date]])&gt;=4,1,0)</f>
        <v>2026</v>
      </c>
      <c r="C1050" s="372">
        <f>YEAR(Table6[[#This Row],[Date]])</f>
        <v>2025</v>
      </c>
      <c r="D1050" s="105" t="s">
        <v>490</v>
      </c>
      <c r="E1050" s="119">
        <f>Table6[[#This Row],[Date]]-DAY(Table6[[#This Row],[Date]])+1</f>
        <v>45839</v>
      </c>
      <c r="F1050" s="373">
        <v>45864</v>
      </c>
      <c r="G1050" s="374" t="s">
        <v>125</v>
      </c>
      <c r="H1050" s="39" t="str">
        <f>_xlfn.XLOOKUP(Table6[[#This Row],[Affected WTG]],'Basic Data'!$A:$A,'Basic Data'!$B:$B)</f>
        <v>PWEGPL</v>
      </c>
      <c r="I1050" s="39" t="str">
        <f>_xlfn.XLOOKUP(Table6[[#This Row],[Affected WTG]],'Basic Data'!$A:$A,'Basic Data'!$C:$C)</f>
        <v>MSEDCL</v>
      </c>
      <c r="J1050" s="381">
        <f>IFERROR(VLOOKUP(Table6[[#This Row],[Affected WTG]],'Basic Data'!$A$3:$E$56,5,0),"")</f>
        <v>2.564102564102564E-2</v>
      </c>
      <c r="K1050" s="105">
        <v>2118</v>
      </c>
      <c r="L1050" s="39" t="str">
        <f>IFERROR(VLOOKUP(Table6[[#This Row],[Error Code]],'Basic Data'!$T:$U,2,0),"")</f>
        <v>Bus Error - Interbus Failure</v>
      </c>
      <c r="M1050" s="346" t="s">
        <v>462</v>
      </c>
      <c r="N1050" s="105" t="s">
        <v>1270</v>
      </c>
      <c r="O1050" s="330">
        <v>0.4375</v>
      </c>
      <c r="P1050" s="330">
        <v>0.51041666666666663</v>
      </c>
      <c r="Q1050" s="330">
        <v>0.54236111111111107</v>
      </c>
      <c r="R1050" s="382">
        <f>IF(Table6[[#This Row],[Work Start TimeStamp]]="","",(Table6[[#This Row],[Work Start TimeStamp]]-Table6[[#This Row],[Fault Start TimeStamp]])*24)</f>
        <v>1.7499999999999991</v>
      </c>
      <c r="S1050" s="382">
        <f>(Table6[[#This Row],[Fault Clearance time]]-Table6[[#This Row],[Work Start TimeStamp]])*24</f>
        <v>0.76666666666666661</v>
      </c>
      <c r="T1050" s="385">
        <f>(Table6[[#This Row],[Fault Clearance time]]-Table6[[#This Row],[Fault Start TimeStamp]])*24</f>
        <v>2.5166666666666657</v>
      </c>
      <c r="U1050" s="346" t="s">
        <v>489</v>
      </c>
      <c r="V1050" s="346" t="s">
        <v>463</v>
      </c>
      <c r="W1050" s="377">
        <f>Table6[[#This Row],[Breakdown Time]]*(1/39)</f>
        <v>6.4529914529914509E-2</v>
      </c>
      <c r="X1050" s="337" t="s">
        <v>465</v>
      </c>
      <c r="Y1050" s="346" t="s">
        <v>124</v>
      </c>
      <c r="Z1050" s="105">
        <v>17998</v>
      </c>
      <c r="AA1050" s="107">
        <f>IFERROR((Table6[[#This Row],[Paired WTG Generation for loss calculation]]/24)*Table6[[#This Row],[Breakdown Time]],"")</f>
        <v>1887.290277777777</v>
      </c>
      <c r="AB1050" s="107" t="s">
        <v>478</v>
      </c>
      <c r="AC1050" s="105"/>
      <c r="AD1050" s="105"/>
    </row>
    <row r="1051" spans="1:30">
      <c r="A1051" s="105">
        <f t="shared" si="16"/>
        <v>1050</v>
      </c>
      <c r="B1051" s="371">
        <f>YEAR(Table6[[#This Row],[Date]])+IF(MONTH(Table6[[#This Row],[Date]])&gt;=4,1,0)</f>
        <v>2026</v>
      </c>
      <c r="C1051" s="372">
        <f>YEAR(Table6[[#This Row],[Date]])</f>
        <v>2025</v>
      </c>
      <c r="D1051" s="105" t="s">
        <v>490</v>
      </c>
      <c r="E1051" s="119">
        <f>Table6[[#This Row],[Date]]-DAY(Table6[[#This Row],[Date]])+1</f>
        <v>45839</v>
      </c>
      <c r="F1051" s="373">
        <v>45864</v>
      </c>
      <c r="G1051" s="374" t="s">
        <v>145</v>
      </c>
      <c r="H1051" s="39" t="str">
        <f>_xlfn.XLOOKUP(Table6[[#This Row],[Affected WTG]],'Basic Data'!$A:$A,'Basic Data'!$B:$B)</f>
        <v>PWEGPL</v>
      </c>
      <c r="I1051" s="39" t="str">
        <f>_xlfn.XLOOKUP(Table6[[#This Row],[Affected WTG]],'Basic Data'!$A:$A,'Basic Data'!$C:$C)</f>
        <v>MSEDCL</v>
      </c>
      <c r="J1051" s="381">
        <f>IFERROR(VLOOKUP(Table6[[#This Row],[Affected WTG]],'Basic Data'!$A$3:$E$56,5,0),"")</f>
        <v>2.564102564102564E-2</v>
      </c>
      <c r="K1051" s="105">
        <v>2118</v>
      </c>
      <c r="L1051" s="39" t="str">
        <f>IFERROR(VLOOKUP(Table6[[#This Row],[Error Code]],'Basic Data'!$T:$U,2,0),"")</f>
        <v>Bus Error - Interbus Failure</v>
      </c>
      <c r="M1051" s="346" t="s">
        <v>462</v>
      </c>
      <c r="N1051" s="105" t="s">
        <v>1270</v>
      </c>
      <c r="O1051" s="330">
        <v>0.63194444444444442</v>
      </c>
      <c r="P1051" s="330">
        <v>0.65277777777777779</v>
      </c>
      <c r="Q1051" s="330">
        <v>0.69166666666666665</v>
      </c>
      <c r="R1051" s="382">
        <f>IF(Table6[[#This Row],[Work Start TimeStamp]]="","",(Table6[[#This Row],[Work Start TimeStamp]]-Table6[[#This Row],[Fault Start TimeStamp]])*24)</f>
        <v>0.50000000000000089</v>
      </c>
      <c r="S1051" s="382">
        <f>(Table6[[#This Row],[Fault Clearance time]]-Table6[[#This Row],[Work Start TimeStamp]])*24</f>
        <v>0.93333333333333268</v>
      </c>
      <c r="T1051" s="385">
        <f>(Table6[[#This Row],[Fault Clearance time]]-Table6[[#This Row],[Fault Start TimeStamp]])*24</f>
        <v>1.4333333333333336</v>
      </c>
      <c r="U1051" s="346" t="s">
        <v>489</v>
      </c>
      <c r="V1051" s="346" t="s">
        <v>463</v>
      </c>
      <c r="W1051" s="377">
        <f>Table6[[#This Row],[Breakdown Time]]*(1/39)</f>
        <v>3.675213675213676E-2</v>
      </c>
      <c r="X1051" s="337" t="s">
        <v>465</v>
      </c>
      <c r="Y1051" s="346" t="s">
        <v>139</v>
      </c>
      <c r="Z1051" s="105">
        <v>13370</v>
      </c>
      <c r="AA1051" s="107">
        <f>IFERROR((Table6[[#This Row],[Paired WTG Generation for loss calculation]]/24)*Table6[[#This Row],[Breakdown Time]],"")</f>
        <v>798.48611111111131</v>
      </c>
      <c r="AB1051" s="107" t="s">
        <v>478</v>
      </c>
      <c r="AC1051" s="105"/>
      <c r="AD1051" s="105"/>
    </row>
    <row r="1052" spans="1:30">
      <c r="A1052" s="105">
        <f t="shared" si="16"/>
        <v>1051</v>
      </c>
      <c r="B1052" s="371">
        <f>YEAR(Table6[[#This Row],[Date]])+IF(MONTH(Table6[[#This Row],[Date]])&gt;=4,1,0)</f>
        <v>2026</v>
      </c>
      <c r="C1052" s="372">
        <f>YEAR(Table6[[#This Row],[Date]])</f>
        <v>2025</v>
      </c>
      <c r="D1052" s="105" t="s">
        <v>490</v>
      </c>
      <c r="E1052" s="119">
        <f>Table6[[#This Row],[Date]]-DAY(Table6[[#This Row],[Date]])+1</f>
        <v>45839</v>
      </c>
      <c r="F1052" s="373">
        <v>45865</v>
      </c>
      <c r="G1052" s="374" t="s">
        <v>142</v>
      </c>
      <c r="H1052" s="39" t="str">
        <f>_xlfn.XLOOKUP(Table6[[#This Row],[Affected WTG]],'Basic Data'!$A:$A,'Basic Data'!$B:$B)</f>
        <v>PWEGPL</v>
      </c>
      <c r="I1052" s="39" t="str">
        <f>_xlfn.XLOOKUP(Table6[[#This Row],[Affected WTG]],'Basic Data'!$A:$A,'Basic Data'!$C:$C)</f>
        <v>MSEDCL</v>
      </c>
      <c r="J1052" s="381">
        <f>IFERROR(VLOOKUP(Table6[[#This Row],[Affected WTG]],'Basic Data'!$A$3:$E$56,5,0),"")</f>
        <v>2.564102564102564E-2</v>
      </c>
      <c r="K1052" s="105" t="s">
        <v>492</v>
      </c>
      <c r="L1052" s="39" t="str">
        <f>IFERROR(VLOOKUP(Table6[[#This Row],[Error Code]],'Basic Data'!$T:$U,2,0),"")</f>
        <v>Manual Stop - Safety Related</v>
      </c>
      <c r="M1052" s="346" t="s">
        <v>481</v>
      </c>
      <c r="N1052" s="105" t="s">
        <v>1269</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498</v>
      </c>
      <c r="V1052" s="351" t="s">
        <v>473</v>
      </c>
      <c r="W1052" s="377">
        <f>Table6[[#This Row],[Breakdown Time]]*(1/39)</f>
        <v>0.35897435897435898</v>
      </c>
      <c r="X1052" s="336" t="s">
        <v>1212</v>
      </c>
      <c r="Y1052" s="352" t="s">
        <v>143</v>
      </c>
      <c r="Z1052" s="105">
        <v>32158</v>
      </c>
      <c r="AA1052" s="107">
        <f>IFERROR((Table6[[#This Row],[Paired WTG Generation for loss calculation]]/24)*Table6[[#This Row],[Breakdown Time]],"")</f>
        <v>18758.833333333336</v>
      </c>
      <c r="AB1052" s="107" t="s">
        <v>478</v>
      </c>
      <c r="AC1052" s="105"/>
      <c r="AD1052" s="105"/>
    </row>
    <row r="1053" spans="1:30">
      <c r="A1053" s="105">
        <f t="shared" si="16"/>
        <v>1052</v>
      </c>
      <c r="B1053" s="371">
        <f>YEAR(Table6[[#This Row],[Date]])+IF(MONTH(Table6[[#This Row],[Date]])&gt;=4,1,0)</f>
        <v>2026</v>
      </c>
      <c r="C1053" s="372">
        <f>YEAR(Table6[[#This Row],[Date]])</f>
        <v>2025</v>
      </c>
      <c r="D1053" s="105" t="s">
        <v>490</v>
      </c>
      <c r="E1053" s="119">
        <f>Table6[[#This Row],[Date]]-DAY(Table6[[#This Row],[Date]])+1</f>
        <v>45839</v>
      </c>
      <c r="F1053" s="373">
        <v>45865</v>
      </c>
      <c r="G1053" s="374" t="s">
        <v>142</v>
      </c>
      <c r="H1053" s="39" t="str">
        <f>_xlfn.XLOOKUP(Table6[[#This Row],[Affected WTG]],'Basic Data'!$A:$A,'Basic Data'!$B:$B)</f>
        <v>PWEGPL</v>
      </c>
      <c r="I1053" s="39" t="str">
        <f>_xlfn.XLOOKUP(Table6[[#This Row],[Affected WTG]],'Basic Data'!$A:$A,'Basic Data'!$C:$C)</f>
        <v>MSEDCL</v>
      </c>
      <c r="J1053" s="381">
        <f>IFERROR(VLOOKUP(Table6[[#This Row],[Affected WTG]],'Basic Data'!$A$3:$E$56,5,0),"")</f>
        <v>2.564102564102564E-2</v>
      </c>
      <c r="K1053" s="105">
        <v>700</v>
      </c>
      <c r="L1053" s="387" t="str">
        <f>IFERROR(VLOOKUP(Table6[[#This Row],[Error Code]],'Basic Data'!$T:$U,2,0),"")</f>
        <v>PLC-Converter Communication Error</v>
      </c>
      <c r="M1053" s="346" t="s">
        <v>462</v>
      </c>
      <c r="N1053" s="105" t="s">
        <v>1270</v>
      </c>
      <c r="O1053" s="330">
        <v>0.58333333333333337</v>
      </c>
      <c r="P1053" s="330">
        <v>0.58333333333333337</v>
      </c>
      <c r="Q1053" s="330">
        <v>0.99998842592592596</v>
      </c>
      <c r="R1053" s="382">
        <f>IF(Table6[[#This Row],[Work Start TimeStamp]]="","",(Table6[[#This Row],[Work Start TimeStamp]]-Table6[[#This Row],[Fault Start TimeStamp]])*24)</f>
        <v>0</v>
      </c>
      <c r="S1053" s="382">
        <f>(Table6[[#This Row],[Fault Clearance time]]-Table6[[#This Row],[Work Start TimeStamp]])*24</f>
        <v>9.9997222222222213</v>
      </c>
      <c r="T1053" s="385">
        <f>(Table6[[#This Row],[Fault Clearance time]]-Table6[[#This Row],[Fault Start TimeStamp]])*24</f>
        <v>9.9997222222222213</v>
      </c>
      <c r="U1053" s="346" t="s">
        <v>500</v>
      </c>
      <c r="V1053" s="346" t="s">
        <v>473</v>
      </c>
      <c r="W1053" s="377">
        <f>Table6[[#This Row],[Breakdown Time]]*(1/39)</f>
        <v>0.25640313390313385</v>
      </c>
      <c r="X1053" s="337" t="s">
        <v>465</v>
      </c>
      <c r="Y1053" s="346" t="s">
        <v>117</v>
      </c>
      <c r="Z1053" s="105">
        <v>32158</v>
      </c>
      <c r="AA1053" s="107">
        <f>IFERROR((Table6[[#This Row],[Paired WTG Generation for loss calculation]]/24)*Table6[[#This Row],[Breakdown Time]],"")</f>
        <v>13398.794467592592</v>
      </c>
      <c r="AB1053" s="107" t="s">
        <v>1406</v>
      </c>
      <c r="AC1053" s="105"/>
      <c r="AD1053" s="105"/>
    </row>
    <row r="1054" spans="1:30">
      <c r="A1054" s="105">
        <f t="shared" si="16"/>
        <v>1053</v>
      </c>
      <c r="B1054" s="371">
        <f>YEAR(Table6[[#This Row],[Date]])+IF(MONTH(Table6[[#This Row],[Date]])&gt;=4,1,0)</f>
        <v>2026</v>
      </c>
      <c r="C1054" s="372">
        <f>YEAR(Table6[[#This Row],[Date]])</f>
        <v>2025</v>
      </c>
      <c r="D1054" s="105" t="s">
        <v>490</v>
      </c>
      <c r="E1054" s="119">
        <f>Table6[[#This Row],[Date]]-DAY(Table6[[#This Row],[Date]])+1</f>
        <v>45839</v>
      </c>
      <c r="F1054" s="373">
        <v>45865</v>
      </c>
      <c r="G1054" s="374" t="s">
        <v>115</v>
      </c>
      <c r="H1054" s="39" t="str">
        <f>_xlfn.XLOOKUP(Table6[[#This Row],[Affected WTG]],'Basic Data'!$A:$A,'Basic Data'!$B:$B)</f>
        <v>PWEGPL</v>
      </c>
      <c r="I1054" s="39" t="str">
        <f>_xlfn.XLOOKUP(Table6[[#This Row],[Affected WTG]],'Basic Data'!$A:$A,'Basic Data'!$C:$C)</f>
        <v>MSEDCL</v>
      </c>
      <c r="J1054" s="381">
        <f>IFERROR(VLOOKUP(Table6[[#This Row],[Affected WTG]],'Basic Data'!$A$3:$E$56,5,0),"")</f>
        <v>2.564102564102564E-2</v>
      </c>
      <c r="K1054" s="105">
        <v>5216</v>
      </c>
      <c r="L1054" s="387" t="str">
        <f>IFERROR(VLOOKUP(Table6[[#This Row],[Error Code]],'Basic Data'!$T:$U,2,0),"")</f>
        <v>Grid Voltage Failure</v>
      </c>
      <c r="M1054" s="346" t="s">
        <v>462</v>
      </c>
      <c r="N1054" s="105" t="s">
        <v>1270</v>
      </c>
      <c r="O1054" s="330">
        <v>0.14861111111111111</v>
      </c>
      <c r="P1054" s="330">
        <v>0.14861111111111111</v>
      </c>
      <c r="Q1054" s="330">
        <v>0.99998842592592596</v>
      </c>
      <c r="R1054" s="382">
        <f>IF(Table6[[#This Row],[Work Start TimeStamp]]="","",(Table6[[#This Row],[Work Start TimeStamp]]-Table6[[#This Row],[Fault Start TimeStamp]])*24)</f>
        <v>0</v>
      </c>
      <c r="S1054" s="382">
        <f>(Table6[[#This Row],[Fault Clearance time]]-Table6[[#This Row],[Work Start TimeStamp]])*24</f>
        <v>20.433055555555555</v>
      </c>
      <c r="T1054" s="385">
        <f>(Table6[[#This Row],[Fault Clearance time]]-Table6[[#This Row],[Fault Start TimeStamp]])*24</f>
        <v>20.433055555555555</v>
      </c>
      <c r="U1054" s="346" t="s">
        <v>1404</v>
      </c>
      <c r="V1054" s="346" t="s">
        <v>463</v>
      </c>
      <c r="W1054" s="377">
        <f>Table6[[#This Row],[Breakdown Time]]*(1/39)</f>
        <v>0.52392450142450142</v>
      </c>
      <c r="X1054" s="337" t="s">
        <v>465</v>
      </c>
      <c r="Y1054" s="346" t="s">
        <v>121</v>
      </c>
      <c r="Z1054" s="105">
        <v>27324</v>
      </c>
      <c r="AA1054" s="107">
        <f>IFERROR((Table6[[#This Row],[Paired WTG Generation for loss calculation]]/24)*Table6[[#This Row],[Breakdown Time]],"")</f>
        <v>23263.033749999999</v>
      </c>
      <c r="AB1054" s="107" t="s">
        <v>1406</v>
      </c>
      <c r="AC1054" s="105"/>
      <c r="AD1054" s="105"/>
    </row>
    <row r="1055" spans="1:30">
      <c r="A1055" s="105">
        <f t="shared" si="16"/>
        <v>1054</v>
      </c>
      <c r="B1055" s="371">
        <f>YEAR(Table6[[#This Row],[Date]])+IF(MONTH(Table6[[#This Row],[Date]])&gt;=4,1,0)</f>
        <v>2026</v>
      </c>
      <c r="C1055" s="372">
        <f>YEAR(Table6[[#This Row],[Date]])</f>
        <v>2025</v>
      </c>
      <c r="D1055" s="105" t="s">
        <v>490</v>
      </c>
      <c r="E1055" s="119">
        <f>Table6[[#This Row],[Date]]-DAY(Table6[[#This Row],[Date]])+1</f>
        <v>45839</v>
      </c>
      <c r="F1055" s="373">
        <v>45865</v>
      </c>
      <c r="G1055" s="374" t="s">
        <v>126</v>
      </c>
      <c r="H1055" s="39" t="str">
        <f>_xlfn.XLOOKUP(Table6[[#This Row],[Affected WTG]],'Basic Data'!$A:$A,'Basic Data'!$B:$B)</f>
        <v>PWEGPL</v>
      </c>
      <c r="I1055" s="39" t="str">
        <f>_xlfn.XLOOKUP(Table6[[#This Row],[Affected WTG]],'Basic Data'!$A:$A,'Basic Data'!$C:$C)</f>
        <v>MSEDCL</v>
      </c>
      <c r="J1055" s="381">
        <f>IFERROR(VLOOKUP(Table6[[#This Row],[Affected WTG]],'Basic Data'!$A$3:$E$56,5,0),"")</f>
        <v>2.564102564102564E-2</v>
      </c>
      <c r="K1055" s="105">
        <v>203</v>
      </c>
      <c r="L1055" s="387" t="str">
        <f>IFERROR(VLOOKUP(Table6[[#This Row],[Error Code]],'Basic Data'!$T:$U,2,0),"")</f>
        <v>Low Pressure On Hydraulic Group</v>
      </c>
      <c r="M1055" s="346" t="s">
        <v>462</v>
      </c>
      <c r="N1055" s="105" t="s">
        <v>1270</v>
      </c>
      <c r="O1055" s="330">
        <v>0.71666666666666667</v>
      </c>
      <c r="P1055" s="330">
        <v>0.73263888888888884</v>
      </c>
      <c r="Q1055" s="330">
        <v>0.75694444444444442</v>
      </c>
      <c r="R1055" s="382">
        <f>IF(Table6[[#This Row],[Work Start TimeStamp]]="","",(Table6[[#This Row],[Work Start TimeStamp]]-Table6[[#This Row],[Fault Start TimeStamp]])*24)</f>
        <v>0.38333333333333197</v>
      </c>
      <c r="S1055" s="382">
        <f>(Table6[[#This Row],[Fault Clearance time]]-Table6[[#This Row],[Work Start TimeStamp]])*24</f>
        <v>0.58333333333333393</v>
      </c>
      <c r="T1055" s="385">
        <f>(Table6[[#This Row],[Fault Clearance time]]-Table6[[#This Row],[Fault Start TimeStamp]])*24</f>
        <v>0.9666666666666659</v>
      </c>
      <c r="U1055" s="346" t="s">
        <v>1405</v>
      </c>
      <c r="V1055" s="346" t="s">
        <v>463</v>
      </c>
      <c r="W1055" s="377">
        <f>Table6[[#This Row],[Breakdown Time]]*(1/39)</f>
        <v>2.4786324786324764E-2</v>
      </c>
      <c r="X1055" s="337" t="s">
        <v>465</v>
      </c>
      <c r="Y1055" s="346" t="s">
        <v>127</v>
      </c>
      <c r="Z1055" s="105">
        <v>35452</v>
      </c>
      <c r="AA1055" s="107">
        <f>IFERROR((Table6[[#This Row],[Paired WTG Generation for loss calculation]]/24)*Table6[[#This Row],[Breakdown Time]],"")</f>
        <v>1427.9277777777768</v>
      </c>
      <c r="AB1055" s="107" t="s">
        <v>478</v>
      </c>
      <c r="AC1055" s="105"/>
      <c r="AD1055" s="105"/>
    </row>
    <row r="1056" spans="1:30">
      <c r="A1056" s="105">
        <f t="shared" si="16"/>
        <v>1055</v>
      </c>
      <c r="B1056" s="371">
        <f>YEAR(Table6[[#This Row],[Date]])+IF(MONTH(Table6[[#This Row],[Date]])&gt;=4,1,0)</f>
        <v>2026</v>
      </c>
      <c r="C1056" s="372">
        <f>YEAR(Table6[[#This Row],[Date]])</f>
        <v>2025</v>
      </c>
      <c r="D1056" s="105" t="s">
        <v>490</v>
      </c>
      <c r="E1056" s="119">
        <f>Table6[[#This Row],[Date]]-DAY(Table6[[#This Row],[Date]])+1</f>
        <v>45839</v>
      </c>
      <c r="F1056" s="373">
        <v>45865</v>
      </c>
      <c r="G1056" s="374" t="s">
        <v>134</v>
      </c>
      <c r="H1056" s="39" t="str">
        <f>_xlfn.XLOOKUP(Table6[[#This Row],[Affected WTG]],'Basic Data'!$A:$A,'Basic Data'!$B:$B)</f>
        <v>PWEGPL</v>
      </c>
      <c r="I1056" s="39" t="str">
        <f>_xlfn.XLOOKUP(Table6[[#This Row],[Affected WTG]],'Basic Data'!$A:$A,'Basic Data'!$C:$C)</f>
        <v>MSEDCL</v>
      </c>
      <c r="J1056" s="381">
        <f>IFERROR(VLOOKUP(Table6[[#This Row],[Affected WTG]],'Basic Data'!$A$3:$E$56,5,0),"")</f>
        <v>2.564102564102564E-2</v>
      </c>
      <c r="K1056" s="105">
        <v>211</v>
      </c>
      <c r="L1056" s="387" t="str">
        <f>IFERROR(VLOOKUP(Table6[[#This Row],[Error Code]],'Basic Data'!$T:$U,2,0),"")</f>
        <v>Hydraulic HUB Filter Dirty</v>
      </c>
      <c r="M1056" s="346" t="s">
        <v>462</v>
      </c>
      <c r="N1056" s="105" t="s">
        <v>1270</v>
      </c>
      <c r="O1056" s="330">
        <v>0.47222222222222221</v>
      </c>
      <c r="P1056" s="330">
        <v>0.52430555555555558</v>
      </c>
      <c r="Q1056" s="330">
        <v>0.52569444444444446</v>
      </c>
      <c r="R1056" s="382">
        <f>IF(Table6[[#This Row],[Work Start TimeStamp]]="","",(Table6[[#This Row],[Work Start TimeStamp]]-Table6[[#This Row],[Fault Start TimeStamp]])*24)</f>
        <v>1.2500000000000009</v>
      </c>
      <c r="S1056" s="382">
        <f>(Table6[[#This Row],[Fault Clearance time]]-Table6[[#This Row],[Work Start TimeStamp]])*24</f>
        <v>3.3333333333333215E-2</v>
      </c>
      <c r="T1056" s="385">
        <f>(Table6[[#This Row],[Fault Clearance time]]-Table6[[#This Row],[Fault Start TimeStamp]])*24</f>
        <v>1.2833333333333341</v>
      </c>
      <c r="U1056" s="346" t="s">
        <v>491</v>
      </c>
      <c r="V1056" s="346" t="s">
        <v>463</v>
      </c>
      <c r="W1056" s="377">
        <f>Table6[[#This Row],[Breakdown Time]]*(1/39)</f>
        <v>3.2905982905982928E-2</v>
      </c>
      <c r="X1056" s="337" t="s">
        <v>465</v>
      </c>
      <c r="Y1056" s="346" t="s">
        <v>133</v>
      </c>
      <c r="Z1056" s="105">
        <v>35455</v>
      </c>
      <c r="AA1056" s="107">
        <f>IFERROR((Table6[[#This Row],[Paired WTG Generation for loss calculation]]/24)*Table6[[#This Row],[Breakdown Time]],"")</f>
        <v>1895.8576388888901</v>
      </c>
      <c r="AB1056" s="107" t="s">
        <v>478</v>
      </c>
      <c r="AC1056" s="105"/>
      <c r="AD1056" s="105"/>
    </row>
    <row r="1057" spans="1:30">
      <c r="A1057" s="105">
        <f t="shared" si="16"/>
        <v>1056</v>
      </c>
      <c r="B1057" s="371">
        <f>YEAR(Table6[[#This Row],[Date]])+IF(MONTH(Table6[[#This Row],[Date]])&gt;=4,1,0)</f>
        <v>2026</v>
      </c>
      <c r="C1057" s="372">
        <f>YEAR(Table6[[#This Row],[Date]])</f>
        <v>2025</v>
      </c>
      <c r="D1057" s="105" t="s">
        <v>490</v>
      </c>
      <c r="E1057" s="119">
        <f>Table6[[#This Row],[Date]]-DAY(Table6[[#This Row],[Date]])+1</f>
        <v>45839</v>
      </c>
      <c r="F1057" s="373">
        <v>45865</v>
      </c>
      <c r="G1057" s="374" t="s">
        <v>139</v>
      </c>
      <c r="H1057" s="39" t="str">
        <f>_xlfn.XLOOKUP(Table6[[#This Row],[Affected WTG]],'Basic Data'!$A:$A,'Basic Data'!$B:$B)</f>
        <v>PWEGPL</v>
      </c>
      <c r="I1057" s="39" t="str">
        <f>_xlfn.XLOOKUP(Table6[[#This Row],[Affected WTG]],'Basic Data'!$A:$A,'Basic Data'!$C:$C)</f>
        <v>MSEDCL</v>
      </c>
      <c r="J1057" s="381">
        <f>IFERROR(VLOOKUP(Table6[[#This Row],[Affected WTG]],'Basic Data'!$A$3:$E$56,5,0),"")</f>
        <v>2.564102564102564E-2</v>
      </c>
      <c r="K1057" s="105">
        <v>5216</v>
      </c>
      <c r="L1057" s="387" t="str">
        <f>IFERROR(VLOOKUP(Table6[[#This Row],[Error Code]],'Basic Data'!$T:$U,2,0),"")</f>
        <v>Grid Voltage Failure</v>
      </c>
      <c r="M1057" s="346" t="s">
        <v>462</v>
      </c>
      <c r="N1057" s="105" t="s">
        <v>1270</v>
      </c>
      <c r="O1057" s="330">
        <v>0.65833333333333333</v>
      </c>
      <c r="P1057" s="330">
        <v>0.68055555555555558</v>
      </c>
      <c r="Q1057" s="330">
        <v>0.80625000000000002</v>
      </c>
      <c r="R1057" s="382">
        <f>IF(Table6[[#This Row],[Work Start TimeStamp]]="","",(Table6[[#This Row],[Work Start TimeStamp]]-Table6[[#This Row],[Fault Start TimeStamp]])*24)</f>
        <v>0.5333333333333341</v>
      </c>
      <c r="S1057" s="382">
        <f>(Table6[[#This Row],[Fault Clearance time]]-Table6[[#This Row],[Work Start TimeStamp]])*24</f>
        <v>3.0166666666666666</v>
      </c>
      <c r="T1057" s="385">
        <f>(Table6[[#This Row],[Fault Clearance time]]-Table6[[#This Row],[Fault Start TimeStamp]])*24</f>
        <v>3.5500000000000007</v>
      </c>
      <c r="U1057" s="346" t="s">
        <v>1407</v>
      </c>
      <c r="V1057" s="346" t="s">
        <v>463</v>
      </c>
      <c r="W1057" s="377">
        <f>Table6[[#This Row],[Breakdown Time]]*(1/39)</f>
        <v>9.1025641025641035E-2</v>
      </c>
      <c r="X1057" s="337" t="s">
        <v>465</v>
      </c>
      <c r="Y1057" s="346" t="s">
        <v>145</v>
      </c>
      <c r="Z1057" s="105">
        <v>29150</v>
      </c>
      <c r="AA1057" s="107">
        <f>IFERROR((Table6[[#This Row],[Paired WTG Generation for loss calculation]]/24)*Table6[[#This Row],[Breakdown Time]],"")</f>
        <v>4311.7708333333339</v>
      </c>
      <c r="AB1057" s="107" t="s">
        <v>478</v>
      </c>
      <c r="AC1057" s="105"/>
      <c r="AD1057" s="105"/>
    </row>
    <row r="1058" spans="1:30">
      <c r="A1058" s="105">
        <f t="shared" si="16"/>
        <v>1057</v>
      </c>
      <c r="B1058" s="371">
        <f>YEAR(Table6[[#This Row],[Date]])+IF(MONTH(Table6[[#This Row],[Date]])&gt;=4,1,0)</f>
        <v>2026</v>
      </c>
      <c r="C1058" s="372">
        <f>YEAR(Table6[[#This Row],[Date]])</f>
        <v>2025</v>
      </c>
      <c r="D1058" s="105" t="s">
        <v>490</v>
      </c>
      <c r="E1058" s="119">
        <f>Table6[[#This Row],[Date]]-DAY(Table6[[#This Row],[Date]])+1</f>
        <v>45839</v>
      </c>
      <c r="F1058" s="373">
        <v>45866</v>
      </c>
      <c r="G1058" s="374" t="s">
        <v>142</v>
      </c>
      <c r="H1058" s="39" t="str">
        <f>_xlfn.XLOOKUP(Table6[[#This Row],[Affected WTG]],'Basic Data'!$A:$A,'Basic Data'!$B:$B)</f>
        <v>PWEGPL</v>
      </c>
      <c r="I1058" s="39" t="str">
        <f>_xlfn.XLOOKUP(Table6[[#This Row],[Affected WTG]],'Basic Data'!$A:$A,'Basic Data'!$C:$C)</f>
        <v>MSEDCL</v>
      </c>
      <c r="J1058" s="381">
        <f>IFERROR(VLOOKUP(Table6[[#This Row],[Affected WTG]],'Basic Data'!$A$3:$E$56,5,0),"")</f>
        <v>2.564102564102564E-2</v>
      </c>
      <c r="K1058" s="105">
        <v>700</v>
      </c>
      <c r="L1058" s="387" t="str">
        <f>IFERROR(VLOOKUP(Table6[[#This Row],[Error Code]],'Basic Data'!$T:$U,2,0),"")</f>
        <v>PLC-Converter Communication Error</v>
      </c>
      <c r="M1058" s="346" t="s">
        <v>462</v>
      </c>
      <c r="N1058" s="105" t="s">
        <v>1270</v>
      </c>
      <c r="O1058" s="330">
        <v>0</v>
      </c>
      <c r="P1058" s="330">
        <v>0</v>
      </c>
      <c r="Q1058" s="330">
        <v>0.99998842592592596</v>
      </c>
      <c r="R1058" s="382">
        <f>IF(Table6[[#This Row],[Work Start TimeStamp]]="","",(Table6[[#This Row],[Work Start TimeStamp]]-Table6[[#This Row],[Fault Start TimeStamp]])*24)</f>
        <v>0</v>
      </c>
      <c r="S1058" s="382">
        <f>(Table6[[#This Row],[Fault Clearance time]]-Table6[[#This Row],[Work Start TimeStamp]])*24</f>
        <v>23.999722222222225</v>
      </c>
      <c r="T1058" s="385">
        <f>(Table6[[#This Row],[Fault Clearance time]]-Table6[[#This Row],[Fault Start TimeStamp]])*24</f>
        <v>23.999722222222225</v>
      </c>
      <c r="U1058" s="346" t="s">
        <v>500</v>
      </c>
      <c r="V1058" s="346" t="s">
        <v>473</v>
      </c>
      <c r="W1058" s="377">
        <f>Table6[[#This Row],[Breakdown Time]]*(1/39)</f>
        <v>0.61537749287749288</v>
      </c>
      <c r="X1058" s="337" t="s">
        <v>465</v>
      </c>
      <c r="Y1058" s="346" t="s">
        <v>143</v>
      </c>
      <c r="Z1058" s="105">
        <v>25976</v>
      </c>
      <c r="AA1058" s="107">
        <f>IFERROR((Table6[[#This Row],[Paired WTG Generation for loss calculation]]/24)*Table6[[#This Row],[Breakdown Time]],"")</f>
        <v>25975.699351851854</v>
      </c>
      <c r="AB1058" s="107" t="s">
        <v>1406</v>
      </c>
      <c r="AC1058" s="105"/>
      <c r="AD1058" s="105"/>
    </row>
    <row r="1059" spans="1:30">
      <c r="A1059" s="105">
        <f t="shared" si="16"/>
        <v>1058</v>
      </c>
      <c r="B1059" s="371">
        <f>YEAR(Table6[[#This Row],[Date]])+IF(MONTH(Table6[[#This Row],[Date]])&gt;=4,1,0)</f>
        <v>2026</v>
      </c>
      <c r="C1059" s="372">
        <f>YEAR(Table6[[#This Row],[Date]])</f>
        <v>2025</v>
      </c>
      <c r="D1059" s="105" t="s">
        <v>490</v>
      </c>
      <c r="E1059" s="119">
        <f>Table6[[#This Row],[Date]]-DAY(Table6[[#This Row],[Date]])+1</f>
        <v>45839</v>
      </c>
      <c r="F1059" s="373">
        <v>45866</v>
      </c>
      <c r="G1059" s="374" t="s">
        <v>115</v>
      </c>
      <c r="H1059" s="39" t="str">
        <f>_xlfn.XLOOKUP(Table6[[#This Row],[Affected WTG]],'Basic Data'!$A:$A,'Basic Data'!$B:$B)</f>
        <v>PWEGPL</v>
      </c>
      <c r="I1059" s="39" t="str">
        <f>_xlfn.XLOOKUP(Table6[[#This Row],[Affected WTG]],'Basic Data'!$A:$A,'Basic Data'!$C:$C)</f>
        <v>MSEDCL</v>
      </c>
      <c r="J1059" s="381">
        <f>IFERROR(VLOOKUP(Table6[[#This Row],[Affected WTG]],'Basic Data'!$A$3:$E$56,5,0),"")</f>
        <v>2.564102564102564E-2</v>
      </c>
      <c r="K1059" s="105">
        <v>5216</v>
      </c>
      <c r="L1059" s="387" t="str">
        <f>IFERROR(VLOOKUP(Table6[[#This Row],[Error Code]],'Basic Data'!$T:$U,2,0),"")</f>
        <v>Grid Voltage Failure</v>
      </c>
      <c r="M1059" s="346" t="s">
        <v>462</v>
      </c>
      <c r="N1059" s="105" t="s">
        <v>1270</v>
      </c>
      <c r="O1059" s="330">
        <v>0</v>
      </c>
      <c r="P1059" s="330">
        <v>0</v>
      </c>
      <c r="Q1059" s="330">
        <v>0.70625000000000004</v>
      </c>
      <c r="R1059" s="382">
        <f>IF(Table6[[#This Row],[Work Start TimeStamp]]="","",(Table6[[#This Row],[Work Start TimeStamp]]-Table6[[#This Row],[Fault Start TimeStamp]])*24)</f>
        <v>0</v>
      </c>
      <c r="S1059" s="382">
        <f>(Table6[[#This Row],[Fault Clearance time]]-Table6[[#This Row],[Work Start TimeStamp]])*24</f>
        <v>16.950000000000003</v>
      </c>
      <c r="T1059" s="385">
        <f>(Table6[[#This Row],[Fault Clearance time]]-Table6[[#This Row],[Fault Start TimeStamp]])*24</f>
        <v>16.950000000000003</v>
      </c>
      <c r="U1059" s="346" t="s">
        <v>1410</v>
      </c>
      <c r="V1059" s="346" t="s">
        <v>463</v>
      </c>
      <c r="W1059" s="377">
        <f>Table6[[#This Row],[Breakdown Time]]*(1/39)</f>
        <v>0.43461538461538468</v>
      </c>
      <c r="X1059" s="337" t="s">
        <v>464</v>
      </c>
      <c r="Y1059" s="346" t="s">
        <v>121</v>
      </c>
      <c r="Z1059" s="105">
        <v>30155</v>
      </c>
      <c r="AA1059" s="107">
        <f>IFERROR((Table6[[#This Row],[Paired WTG Generation for loss calculation]]/24)*Table6[[#This Row],[Breakdown Time]],"")</f>
        <v>21296.968750000004</v>
      </c>
      <c r="AB1059" s="107" t="s">
        <v>478</v>
      </c>
      <c r="AC1059" s="105"/>
      <c r="AD1059" s="105"/>
    </row>
    <row r="1060" spans="1:30">
      <c r="A1060" s="105">
        <f t="shared" si="16"/>
        <v>1059</v>
      </c>
      <c r="B1060" s="371">
        <f>YEAR(Table6[[#This Row],[Date]])+IF(MONTH(Table6[[#This Row],[Date]])&gt;=4,1,0)</f>
        <v>2026</v>
      </c>
      <c r="C1060" s="372">
        <f>YEAR(Table6[[#This Row],[Date]])</f>
        <v>2025</v>
      </c>
      <c r="D1060" s="105" t="s">
        <v>490</v>
      </c>
      <c r="E1060" s="119">
        <f>Table6[[#This Row],[Date]]-DAY(Table6[[#This Row],[Date]])+1</f>
        <v>45839</v>
      </c>
      <c r="F1060" s="373">
        <v>45866</v>
      </c>
      <c r="G1060" s="374" t="s">
        <v>126</v>
      </c>
      <c r="H1060" s="39" t="str">
        <f>_xlfn.XLOOKUP(Table6[[#This Row],[Affected WTG]],'Basic Data'!$A:$A,'Basic Data'!$B:$B)</f>
        <v>PWEGPL</v>
      </c>
      <c r="I1060" s="39" t="str">
        <f>_xlfn.XLOOKUP(Table6[[#This Row],[Affected WTG]],'Basic Data'!$A:$A,'Basic Data'!$C:$C)</f>
        <v>MSEDCL</v>
      </c>
      <c r="J1060" s="381">
        <f>IFERROR(VLOOKUP(Table6[[#This Row],[Affected WTG]],'Basic Data'!$A$3:$E$56,5,0),"")</f>
        <v>2.564102564102564E-2</v>
      </c>
      <c r="K1060" s="105">
        <v>203</v>
      </c>
      <c r="L1060" s="387" t="str">
        <f>IFERROR(VLOOKUP(Table6[[#This Row],[Error Code]],'Basic Data'!$T:$U,2,0),"")</f>
        <v>Low Pressure On Hydraulic Group</v>
      </c>
      <c r="M1060" s="346" t="s">
        <v>462</v>
      </c>
      <c r="N1060" s="105" t="s">
        <v>1270</v>
      </c>
      <c r="O1060" s="330">
        <v>0.35069444444444442</v>
      </c>
      <c r="P1060" s="330">
        <v>0.41736111111111113</v>
      </c>
      <c r="Q1060" s="330">
        <v>0.41805555555555557</v>
      </c>
      <c r="R1060" s="382">
        <f>IF(Table6[[#This Row],[Work Start TimeStamp]]="","",(Table6[[#This Row],[Work Start TimeStamp]]-Table6[[#This Row],[Fault Start TimeStamp]])*24)</f>
        <v>1.600000000000001</v>
      </c>
      <c r="S1060" s="382">
        <f>(Table6[[#This Row],[Fault Clearance time]]-Table6[[#This Row],[Work Start TimeStamp]])*24</f>
        <v>1.6666666666666607E-2</v>
      </c>
      <c r="T1060" s="385">
        <f>(Table6[[#This Row],[Fault Clearance time]]-Table6[[#This Row],[Fault Start TimeStamp]])*24</f>
        <v>1.6166666666666676</v>
      </c>
      <c r="U1060" s="346" t="s">
        <v>493</v>
      </c>
      <c r="V1060" s="346" t="s">
        <v>463</v>
      </c>
      <c r="W1060" s="377">
        <f>Table6[[#This Row],[Breakdown Time]]*(1/39)</f>
        <v>4.1452991452991472E-2</v>
      </c>
      <c r="X1060" s="337" t="s">
        <v>464</v>
      </c>
      <c r="Y1060" s="346" t="s">
        <v>127</v>
      </c>
      <c r="Z1060" s="105">
        <v>31554</v>
      </c>
      <c r="AA1060" s="107">
        <f>IFERROR((Table6[[#This Row],[Paired WTG Generation for loss calculation]]/24)*Table6[[#This Row],[Breakdown Time]],"")</f>
        <v>2125.5125000000012</v>
      </c>
      <c r="AB1060" s="107" t="s">
        <v>478</v>
      </c>
      <c r="AC1060" s="105"/>
      <c r="AD1060" s="105"/>
    </row>
    <row r="1061" spans="1:30">
      <c r="A1061" s="105">
        <f t="shared" si="16"/>
        <v>1060</v>
      </c>
      <c r="B1061" s="371">
        <f>YEAR(Table6[[#This Row],[Date]])+IF(MONTH(Table6[[#This Row],[Date]])&gt;=4,1,0)</f>
        <v>2026</v>
      </c>
      <c r="C1061" s="372">
        <f>YEAR(Table6[[#This Row],[Date]])</f>
        <v>2025</v>
      </c>
      <c r="D1061" s="105" t="s">
        <v>490</v>
      </c>
      <c r="E1061" s="119">
        <f>Table6[[#This Row],[Date]]-DAY(Table6[[#This Row],[Date]])+1</f>
        <v>45839</v>
      </c>
      <c r="F1061" s="373">
        <v>45866</v>
      </c>
      <c r="G1061" s="374" t="s">
        <v>129</v>
      </c>
      <c r="H1061" s="39" t="str">
        <f>_xlfn.XLOOKUP(Table6[[#This Row],[Affected WTG]],'Basic Data'!$A:$A,'Basic Data'!$B:$B)</f>
        <v>PWEGPL</v>
      </c>
      <c r="I1061" s="39" t="str">
        <f>_xlfn.XLOOKUP(Table6[[#This Row],[Affected WTG]],'Basic Data'!$A:$A,'Basic Data'!$C:$C)</f>
        <v>MSEDCL</v>
      </c>
      <c r="J1061" s="381">
        <f>IFERROR(VLOOKUP(Table6[[#This Row],[Affected WTG]],'Basic Data'!$A$3:$E$56,5,0),"")</f>
        <v>2.564102564102564E-2</v>
      </c>
      <c r="K1061" s="105">
        <v>2118</v>
      </c>
      <c r="L1061" s="387" t="str">
        <f>IFERROR(VLOOKUP(Table6[[#This Row],[Error Code]],'Basic Data'!$T:$U,2,0),"")</f>
        <v>Bus Error - Interbus Failure</v>
      </c>
      <c r="M1061" s="346" t="s">
        <v>462</v>
      </c>
      <c r="N1061" s="105" t="s">
        <v>1270</v>
      </c>
      <c r="O1061" s="330">
        <v>0.63194444444444442</v>
      </c>
      <c r="P1061" s="330">
        <v>0.65</v>
      </c>
      <c r="Q1061" s="330">
        <v>0.71666666666666667</v>
      </c>
      <c r="R1061" s="382">
        <f>IF(Table6[[#This Row],[Work Start TimeStamp]]="","",(Table6[[#This Row],[Work Start TimeStamp]]-Table6[[#This Row],[Fault Start TimeStamp]])*24)</f>
        <v>0.43333333333333446</v>
      </c>
      <c r="S1061" s="382">
        <f>(Table6[[#This Row],[Fault Clearance time]]-Table6[[#This Row],[Work Start TimeStamp]])*24</f>
        <v>1.5999999999999996</v>
      </c>
      <c r="T1061" s="385">
        <f>(Table6[[#This Row],[Fault Clearance time]]-Table6[[#This Row],[Fault Start TimeStamp]])*24</f>
        <v>2.0333333333333341</v>
      </c>
      <c r="U1061" s="346" t="s">
        <v>1239</v>
      </c>
      <c r="V1061" s="346" t="s">
        <v>463</v>
      </c>
      <c r="W1061" s="377">
        <f>Table6[[#This Row],[Breakdown Time]]*(1/39)</f>
        <v>5.2136752136752153E-2</v>
      </c>
      <c r="X1061" s="337" t="s">
        <v>464</v>
      </c>
      <c r="Y1061" s="346" t="s">
        <v>128</v>
      </c>
      <c r="Z1061" s="105">
        <v>31550</v>
      </c>
      <c r="AA1061" s="107">
        <f>IFERROR((Table6[[#This Row],[Paired WTG Generation for loss calculation]]/24)*Table6[[#This Row],[Breakdown Time]],"")</f>
        <v>2672.9861111111118</v>
      </c>
      <c r="AB1061" s="107" t="s">
        <v>478</v>
      </c>
      <c r="AC1061" s="105"/>
      <c r="AD1061" s="105"/>
    </row>
    <row r="1062" spans="1:30">
      <c r="A1062" s="105">
        <f t="shared" si="16"/>
        <v>1061</v>
      </c>
      <c r="B1062" s="371">
        <f>YEAR(Table6[[#This Row],[Date]])+IF(MONTH(Table6[[#This Row],[Date]])&gt;=4,1,0)</f>
        <v>2026</v>
      </c>
      <c r="C1062" s="372">
        <f>YEAR(Table6[[#This Row],[Date]])</f>
        <v>2025</v>
      </c>
      <c r="D1062" s="105" t="s">
        <v>490</v>
      </c>
      <c r="E1062" s="119">
        <f>Table6[[#This Row],[Date]]-DAY(Table6[[#This Row],[Date]])+1</f>
        <v>45839</v>
      </c>
      <c r="F1062" s="373">
        <v>45866</v>
      </c>
      <c r="G1062" s="374" t="s">
        <v>130</v>
      </c>
      <c r="H1062" s="39" t="str">
        <f>_xlfn.XLOOKUP(Table6[[#This Row],[Affected WTG]],'Basic Data'!$A:$A,'Basic Data'!$B:$B)</f>
        <v>PWEGPL</v>
      </c>
      <c r="I1062" s="39" t="str">
        <f>_xlfn.XLOOKUP(Table6[[#This Row],[Affected WTG]],'Basic Data'!$A:$A,'Basic Data'!$C:$C)</f>
        <v>MSEDCL</v>
      </c>
      <c r="J1062" s="381">
        <f>IFERROR(VLOOKUP(Table6[[#This Row],[Affected WTG]],'Basic Data'!$A$3:$E$56,5,0),"")</f>
        <v>2.564102564102564E-2</v>
      </c>
      <c r="K1062" s="105">
        <v>211</v>
      </c>
      <c r="L1062" s="387" t="str">
        <f>IFERROR(VLOOKUP(Table6[[#This Row],[Error Code]],'Basic Data'!$T:$U,2,0),"")</f>
        <v>Hydraulic HUB Filter Dirty</v>
      </c>
      <c r="M1062" s="346" t="s">
        <v>462</v>
      </c>
      <c r="N1062" s="105" t="s">
        <v>1270</v>
      </c>
      <c r="O1062" s="330">
        <v>0.64513888888888893</v>
      </c>
      <c r="P1062" s="330">
        <v>0.66736111111111107</v>
      </c>
      <c r="Q1062" s="330">
        <v>0.66805555555555551</v>
      </c>
      <c r="R1062" s="382">
        <f>IF(Table6[[#This Row],[Work Start TimeStamp]]="","",(Table6[[#This Row],[Work Start TimeStamp]]-Table6[[#This Row],[Fault Start TimeStamp]])*24)</f>
        <v>0.53333333333333144</v>
      </c>
      <c r="S1062" s="382">
        <f>(Table6[[#This Row],[Fault Clearance time]]-Table6[[#This Row],[Work Start TimeStamp]])*24</f>
        <v>1.6666666666666607E-2</v>
      </c>
      <c r="T1062" s="385">
        <f>(Table6[[#This Row],[Fault Clearance time]]-Table6[[#This Row],[Fault Start TimeStamp]])*24</f>
        <v>0.54999999999999805</v>
      </c>
      <c r="U1062" s="346" t="s">
        <v>493</v>
      </c>
      <c r="V1062" s="346" t="s">
        <v>463</v>
      </c>
      <c r="W1062" s="377">
        <f>Table6[[#This Row],[Breakdown Time]]*(1/39)</f>
        <v>1.4102564102564052E-2</v>
      </c>
      <c r="X1062" s="337" t="s">
        <v>464</v>
      </c>
      <c r="Y1062" s="346" t="s">
        <v>129</v>
      </c>
      <c r="Z1062" s="105">
        <v>29499</v>
      </c>
      <c r="AA1062" s="107">
        <f>IFERROR((Table6[[#This Row],[Paired WTG Generation for loss calculation]]/24)*Table6[[#This Row],[Breakdown Time]],"")</f>
        <v>676.01874999999757</v>
      </c>
      <c r="AB1062" s="107" t="s">
        <v>478</v>
      </c>
      <c r="AC1062" s="105"/>
      <c r="AD1062" s="105"/>
    </row>
    <row r="1063" spans="1:30">
      <c r="A1063" s="105">
        <f t="shared" si="16"/>
        <v>1062</v>
      </c>
      <c r="B1063" s="371">
        <f>YEAR(Table6[[#This Row],[Date]])+IF(MONTH(Table6[[#This Row],[Date]])&gt;=4,1,0)</f>
        <v>2026</v>
      </c>
      <c r="C1063" s="372">
        <f>YEAR(Table6[[#This Row],[Date]])</f>
        <v>2025</v>
      </c>
      <c r="D1063" s="105" t="s">
        <v>490</v>
      </c>
      <c r="E1063" s="119">
        <f>Table6[[#This Row],[Date]]-DAY(Table6[[#This Row],[Date]])+1</f>
        <v>45839</v>
      </c>
      <c r="F1063" s="373">
        <v>45866</v>
      </c>
      <c r="G1063" s="374" t="s">
        <v>135</v>
      </c>
      <c r="H1063" s="39" t="str">
        <f>_xlfn.XLOOKUP(Table6[[#This Row],[Affected WTG]],'Basic Data'!$A:$A,'Basic Data'!$B:$B)</f>
        <v>PWEGPL</v>
      </c>
      <c r="I1063" s="39" t="str">
        <f>_xlfn.XLOOKUP(Table6[[#This Row],[Affected WTG]],'Basic Data'!$A:$A,'Basic Data'!$C:$C)</f>
        <v>MSEDCL</v>
      </c>
      <c r="J1063" s="381">
        <f>IFERROR(VLOOKUP(Table6[[#This Row],[Affected WTG]],'Basic Data'!$A$3:$E$56,5,0),"")</f>
        <v>2.564102564102564E-2</v>
      </c>
      <c r="K1063" s="105">
        <v>800</v>
      </c>
      <c r="L1063" s="387" t="str">
        <f>IFERROR(VLOOKUP(Table6[[#This Row],[Error Code]],'Basic Data'!$T:$U,2,0),"")</f>
        <v>Pitch Drive Error</v>
      </c>
      <c r="M1063" s="346" t="s">
        <v>462</v>
      </c>
      <c r="N1063" s="105" t="s">
        <v>1270</v>
      </c>
      <c r="O1063" s="330">
        <v>0.77430555555555558</v>
      </c>
      <c r="P1063" s="330">
        <v>0.79374999999999996</v>
      </c>
      <c r="Q1063" s="330">
        <v>0.81041666666666667</v>
      </c>
      <c r="R1063" s="382">
        <f>IF(Table6[[#This Row],[Work Start TimeStamp]]="","",(Table6[[#This Row],[Work Start TimeStamp]]-Table6[[#This Row],[Fault Start TimeStamp]])*24)</f>
        <v>0.46666666666666501</v>
      </c>
      <c r="S1063" s="382">
        <f>(Table6[[#This Row],[Fault Clearance time]]-Table6[[#This Row],[Work Start TimeStamp]])*24</f>
        <v>0.40000000000000124</v>
      </c>
      <c r="T1063" s="385">
        <f>(Table6[[#This Row],[Fault Clearance time]]-Table6[[#This Row],[Fault Start TimeStamp]])*24</f>
        <v>0.86666666666666625</v>
      </c>
      <c r="U1063" s="346" t="s">
        <v>1412</v>
      </c>
      <c r="V1063" s="346" t="s">
        <v>463</v>
      </c>
      <c r="W1063" s="377">
        <f>Table6[[#This Row],[Breakdown Time]]*(1/39)</f>
        <v>2.2222222222222209E-2</v>
      </c>
      <c r="X1063" s="337" t="s">
        <v>464</v>
      </c>
      <c r="Y1063" s="346" t="s">
        <v>136</v>
      </c>
      <c r="Z1063" s="105">
        <v>26621</v>
      </c>
      <c r="AA1063" s="107">
        <f>IFERROR((Table6[[#This Row],[Paired WTG Generation for loss calculation]]/24)*Table6[[#This Row],[Breakdown Time]],"")</f>
        <v>961.31388888888841</v>
      </c>
      <c r="AB1063" s="107" t="s">
        <v>478</v>
      </c>
      <c r="AC1063" s="105"/>
      <c r="AD1063" s="105"/>
    </row>
    <row r="1064" spans="1:30">
      <c r="A1064" s="105">
        <f t="shared" si="16"/>
        <v>1063</v>
      </c>
      <c r="B1064" s="371">
        <f>YEAR(Table6[[#This Row],[Date]])+IF(MONTH(Table6[[#This Row],[Date]])&gt;=4,1,0)</f>
        <v>2026</v>
      </c>
      <c r="C1064" s="372">
        <f>YEAR(Table6[[#This Row],[Date]])</f>
        <v>2025</v>
      </c>
      <c r="D1064" s="105" t="s">
        <v>490</v>
      </c>
      <c r="E1064" s="119">
        <f>Table6[[#This Row],[Date]]-DAY(Table6[[#This Row],[Date]])+1</f>
        <v>45839</v>
      </c>
      <c r="F1064" s="373">
        <v>45866</v>
      </c>
      <c r="G1064" s="374" t="s">
        <v>143</v>
      </c>
      <c r="H1064" s="39" t="str">
        <f>_xlfn.XLOOKUP(Table6[[#This Row],[Affected WTG]],'Basic Data'!$A:$A,'Basic Data'!$B:$B)</f>
        <v>PWEGPL</v>
      </c>
      <c r="I1064" s="39" t="str">
        <f>_xlfn.XLOOKUP(Table6[[#This Row],[Affected WTG]],'Basic Data'!$A:$A,'Basic Data'!$C:$C)</f>
        <v>MSEDCL</v>
      </c>
      <c r="J1064" s="381">
        <f>IFERROR(VLOOKUP(Table6[[#This Row],[Affected WTG]],'Basic Data'!$A$3:$E$56,5,0),"")</f>
        <v>2.564102564102564E-2</v>
      </c>
      <c r="K1064" s="105">
        <v>222</v>
      </c>
      <c r="L1064" s="387" t="str">
        <f>IFERROR(VLOOKUP(Table6[[#This Row],[Error Code]],'Basic Data'!$T:$U,2,0),"")</f>
        <v>Very Low Pressure On Hydraulic Unit</v>
      </c>
      <c r="M1064" s="346" t="s">
        <v>462</v>
      </c>
      <c r="N1064" s="105" t="s">
        <v>1270</v>
      </c>
      <c r="O1064" s="330">
        <v>0.60416666666666663</v>
      </c>
      <c r="P1064" s="330">
        <v>0.62847222222222221</v>
      </c>
      <c r="Q1064" s="330">
        <v>0.62986111111111109</v>
      </c>
      <c r="R1064" s="382">
        <f>IF(Table6[[#This Row],[Work Start TimeStamp]]="","",(Table6[[#This Row],[Work Start TimeStamp]]-Table6[[#This Row],[Fault Start TimeStamp]])*24)</f>
        <v>0.58333333333333393</v>
      </c>
      <c r="S1064" s="382">
        <f>(Table6[[#This Row],[Fault Clearance time]]-Table6[[#This Row],[Work Start TimeStamp]])*24</f>
        <v>3.3333333333333215E-2</v>
      </c>
      <c r="T1064" s="385">
        <f>(Table6[[#This Row],[Fault Clearance time]]-Table6[[#This Row],[Fault Start TimeStamp]])*24</f>
        <v>0.61666666666666714</v>
      </c>
      <c r="U1064" s="346" t="s">
        <v>493</v>
      </c>
      <c r="V1064" s="346" t="s">
        <v>463</v>
      </c>
      <c r="W1064" s="377">
        <f>Table6[[#This Row],[Breakdown Time]]*(1/39)</f>
        <v>1.5811965811965825E-2</v>
      </c>
      <c r="X1064" s="337" t="s">
        <v>464</v>
      </c>
      <c r="Y1064" s="346" t="s">
        <v>144</v>
      </c>
      <c r="Z1064" s="105">
        <v>26627</v>
      </c>
      <c r="AA1064" s="107">
        <f>IFERROR((Table6[[#This Row],[Paired WTG Generation for loss calculation]]/24)*Table6[[#This Row],[Breakdown Time]],"")</f>
        <v>684.16597222222265</v>
      </c>
      <c r="AB1064" s="107" t="s">
        <v>478</v>
      </c>
      <c r="AC1064" s="105"/>
      <c r="AD1064" s="105"/>
    </row>
    <row r="1065" spans="1:30">
      <c r="A1065" s="105">
        <f t="shared" si="16"/>
        <v>1064</v>
      </c>
      <c r="B1065" s="371">
        <f>YEAR(Table6[[#This Row],[Date]])+IF(MONTH(Table6[[#This Row],[Date]])&gt;=4,1,0)</f>
        <v>2026</v>
      </c>
      <c r="C1065" s="372">
        <f>YEAR(Table6[[#This Row],[Date]])</f>
        <v>2025</v>
      </c>
      <c r="D1065" s="105" t="s">
        <v>490</v>
      </c>
      <c r="E1065" s="119">
        <f>Table6[[#This Row],[Date]]-DAY(Table6[[#This Row],[Date]])+1</f>
        <v>45839</v>
      </c>
      <c r="F1065" s="373">
        <v>45867</v>
      </c>
      <c r="G1065" s="374" t="s">
        <v>142</v>
      </c>
      <c r="H1065" s="39" t="str">
        <f>_xlfn.XLOOKUP(Table6[[#This Row],[Affected WTG]],'Basic Data'!$A:$A,'Basic Data'!$B:$B)</f>
        <v>PWEGPL</v>
      </c>
      <c r="I1065" s="39" t="str">
        <f>_xlfn.XLOOKUP(Table6[[#This Row],[Affected WTG]],'Basic Data'!$A:$A,'Basic Data'!$C:$C)</f>
        <v>MSEDCL</v>
      </c>
      <c r="J1065" s="381">
        <f>IFERROR(VLOOKUP(Table6[[#This Row],[Affected WTG]],'Basic Data'!$A$3:$E$56,5,0),"")</f>
        <v>2.564102564102564E-2</v>
      </c>
      <c r="K1065" s="105">
        <v>700</v>
      </c>
      <c r="L1065" s="387" t="str">
        <f>IFERROR(VLOOKUP(Table6[[#This Row],[Error Code]],'Basic Data'!$T:$U,2,0),"")</f>
        <v>PLC-Converter Communication Error</v>
      </c>
      <c r="M1065" s="346" t="s">
        <v>462</v>
      </c>
      <c r="N1065" s="105" t="s">
        <v>1270</v>
      </c>
      <c r="O1065" s="330">
        <v>0</v>
      </c>
      <c r="P1065" s="330">
        <v>0</v>
      </c>
      <c r="Q1065" s="330">
        <v>0.99998842592592596</v>
      </c>
      <c r="R1065" s="382">
        <f>IF(Table6[[#This Row],[Work Start TimeStamp]]="","",(Table6[[#This Row],[Work Start TimeStamp]]-Table6[[#This Row],[Fault Start TimeStamp]])*24)</f>
        <v>0</v>
      </c>
      <c r="S1065" s="382">
        <f>(Table6[[#This Row],[Fault Clearance time]]-Table6[[#This Row],[Work Start TimeStamp]])*24</f>
        <v>23.999722222222225</v>
      </c>
      <c r="T1065" s="385">
        <f>(Table6[[#This Row],[Fault Clearance time]]-Table6[[#This Row],[Fault Start TimeStamp]])*24</f>
        <v>23.999722222222225</v>
      </c>
      <c r="U1065" s="346" t="s">
        <v>500</v>
      </c>
      <c r="V1065" s="346" t="s">
        <v>473</v>
      </c>
      <c r="W1065" s="377">
        <f>Table6[[#This Row],[Breakdown Time]]*(1/39)</f>
        <v>0.61537749287749288</v>
      </c>
      <c r="X1065" s="337" t="s">
        <v>465</v>
      </c>
      <c r="Y1065" s="346" t="s">
        <v>143</v>
      </c>
      <c r="Z1065" s="105">
        <v>23428</v>
      </c>
      <c r="AA1065" s="107">
        <f>IFERROR((Table6[[#This Row],[Paired WTG Generation for loss calculation]]/24)*Table6[[#This Row],[Breakdown Time]],"")</f>
        <v>23427.728842592594</v>
      </c>
      <c r="AB1065" s="107" t="s">
        <v>1406</v>
      </c>
      <c r="AC1065" s="105"/>
      <c r="AD1065" s="105"/>
    </row>
    <row r="1066" spans="1:30">
      <c r="A1066" s="105">
        <f t="shared" si="16"/>
        <v>1065</v>
      </c>
      <c r="B1066" s="371">
        <f>YEAR(Table6[[#This Row],[Date]])+IF(MONTH(Table6[[#This Row],[Date]])&gt;=4,1,0)</f>
        <v>2026</v>
      </c>
      <c r="C1066" s="372">
        <f>YEAR(Table6[[#This Row],[Date]])</f>
        <v>2025</v>
      </c>
      <c r="D1066" s="105" t="s">
        <v>490</v>
      </c>
      <c r="E1066" s="119">
        <f>Table6[[#This Row],[Date]]-DAY(Table6[[#This Row],[Date]])+1</f>
        <v>45839</v>
      </c>
      <c r="F1066" s="373">
        <v>45867</v>
      </c>
      <c r="G1066" s="407" t="s">
        <v>126</v>
      </c>
      <c r="H1066" s="39" t="str">
        <f>_xlfn.XLOOKUP(Table6[[#This Row],[Affected WTG]],'Basic Data'!$A:$A,'Basic Data'!$B:$B)</f>
        <v>PWEGPL</v>
      </c>
      <c r="I1066" s="39" t="str">
        <f>_xlfn.XLOOKUP(Table6[[#This Row],[Affected WTG]],'Basic Data'!$A:$A,'Basic Data'!$C:$C)</f>
        <v>MSEDCL</v>
      </c>
      <c r="J1066" s="381">
        <f>IFERROR(VLOOKUP(Table6[[#This Row],[Affected WTG]],'Basic Data'!$A$3:$E$56,5,0),"")</f>
        <v>2.564102564102564E-2</v>
      </c>
      <c r="K1066" s="105">
        <v>203</v>
      </c>
      <c r="L1066" s="387" t="str">
        <f>IFERROR(VLOOKUP(Table6[[#This Row],[Error Code]],'Basic Data'!$T:$U,2,0),"")</f>
        <v>Low Pressure On Hydraulic Group</v>
      </c>
      <c r="M1066" s="346" t="s">
        <v>462</v>
      </c>
      <c r="N1066" s="105" t="s">
        <v>1270</v>
      </c>
      <c r="O1066" s="330">
        <v>0.60416666666666663</v>
      </c>
      <c r="P1066" s="330">
        <v>0.99998842592592596</v>
      </c>
      <c r="Q1066" s="330">
        <v>0.99998842592592596</v>
      </c>
      <c r="R1066" s="382">
        <f>IF(Table6[[#This Row],[Work Start TimeStamp]]="","",(Table6[[#This Row],[Work Start TimeStamp]]-Table6[[#This Row],[Fault Start TimeStamp]])*24)</f>
        <v>9.4997222222222248</v>
      </c>
      <c r="S1066" s="382">
        <f>(Table6[[#This Row],[Fault Clearance time]]-Table6[[#This Row],[Work Start TimeStamp]])*24</f>
        <v>0</v>
      </c>
      <c r="T1066" s="385">
        <f>(Table6[[#This Row],[Fault Clearance time]]-Table6[[#This Row],[Fault Start TimeStamp]])*24</f>
        <v>9.4997222222222248</v>
      </c>
      <c r="U1066" s="346" t="s">
        <v>500</v>
      </c>
      <c r="V1066" s="346" t="s">
        <v>473</v>
      </c>
      <c r="W1066" s="377">
        <f>Table6[[#This Row],[Breakdown Time]]*(1/39)</f>
        <v>0.24358262108262113</v>
      </c>
      <c r="X1066" s="337" t="s">
        <v>465</v>
      </c>
      <c r="Y1066" s="346" t="s">
        <v>127</v>
      </c>
      <c r="Z1066" s="105">
        <v>31613</v>
      </c>
      <c r="AA1066" s="107">
        <f>IFERROR((Table6[[#This Row],[Paired WTG Generation for loss calculation]]/24)*Table6[[#This Row],[Breakdown Time]],"")</f>
        <v>12513.113275462965</v>
      </c>
      <c r="AB1066" s="107" t="s">
        <v>478</v>
      </c>
      <c r="AC1066" s="105"/>
      <c r="AD1066" s="105"/>
    </row>
    <row r="1067" spans="1:30">
      <c r="A1067" s="105">
        <f t="shared" si="16"/>
        <v>1066</v>
      </c>
      <c r="B1067" s="371">
        <f>YEAR(Table6[[#This Row],[Date]])+IF(MONTH(Table6[[#This Row],[Date]])&gt;=4,1,0)</f>
        <v>2026</v>
      </c>
      <c r="C1067" s="372">
        <f>YEAR(Table6[[#This Row],[Date]])</f>
        <v>2025</v>
      </c>
      <c r="D1067" s="105" t="s">
        <v>490</v>
      </c>
      <c r="E1067" s="119">
        <f>Table6[[#This Row],[Date]]-DAY(Table6[[#This Row],[Date]])+1</f>
        <v>45839</v>
      </c>
      <c r="F1067" s="373">
        <v>45867</v>
      </c>
      <c r="G1067" s="407" t="s">
        <v>130</v>
      </c>
      <c r="H1067" s="39" t="str">
        <f>_xlfn.XLOOKUP(Table6[[#This Row],[Affected WTG]],'Basic Data'!$A:$A,'Basic Data'!$B:$B)</f>
        <v>PWEGPL</v>
      </c>
      <c r="I1067" s="39" t="str">
        <f>_xlfn.XLOOKUP(Table6[[#This Row],[Affected WTG]],'Basic Data'!$A:$A,'Basic Data'!$C:$C)</f>
        <v>MSEDCL</v>
      </c>
      <c r="J1067" s="381">
        <f>IFERROR(VLOOKUP(Table6[[#This Row],[Affected WTG]],'Basic Data'!$A$3:$E$56,5,0),"")</f>
        <v>2.564102564102564E-2</v>
      </c>
      <c r="K1067" s="105">
        <v>700</v>
      </c>
      <c r="L1067" s="387" t="str">
        <f>IFERROR(VLOOKUP(Table6[[#This Row],[Error Code]],'Basic Data'!$T:$U,2,0),"")</f>
        <v>PLC-Converter Communication Error</v>
      </c>
      <c r="M1067" s="346" t="s">
        <v>462</v>
      </c>
      <c r="N1067" s="105" t="s">
        <v>1270</v>
      </c>
      <c r="O1067" s="330">
        <v>0.75694444444444442</v>
      </c>
      <c r="P1067" s="330">
        <v>0.77013888888888893</v>
      </c>
      <c r="Q1067" s="330">
        <v>0.77083333333333337</v>
      </c>
      <c r="R1067" s="382">
        <f>IF(Table6[[#This Row],[Work Start TimeStamp]]="","",(Table6[[#This Row],[Work Start TimeStamp]]-Table6[[#This Row],[Fault Start TimeStamp]])*24)</f>
        <v>0.31666666666666821</v>
      </c>
      <c r="S1067" s="382">
        <f>(Table6[[#This Row],[Fault Clearance time]]-Table6[[#This Row],[Work Start TimeStamp]])*24</f>
        <v>1.6666666666666607E-2</v>
      </c>
      <c r="T1067" s="385">
        <f>(Table6[[#This Row],[Fault Clearance time]]-Table6[[#This Row],[Fault Start TimeStamp]])*24</f>
        <v>0.33333333333333481</v>
      </c>
      <c r="U1067" s="346" t="s">
        <v>493</v>
      </c>
      <c r="V1067" s="346" t="s">
        <v>463</v>
      </c>
      <c r="W1067" s="377">
        <f>Table6[[#This Row],[Breakdown Time]]*(1/39)</f>
        <v>8.5470085470085843E-3</v>
      </c>
      <c r="X1067" s="337" t="s">
        <v>465</v>
      </c>
      <c r="Y1067" s="346" t="s">
        <v>131</v>
      </c>
      <c r="Z1067" s="105">
        <v>31619</v>
      </c>
      <c r="AA1067" s="107">
        <f>IFERROR((Table6[[#This Row],[Paired WTG Generation for loss calculation]]/24)*Table6[[#This Row],[Breakdown Time]],"")</f>
        <v>439.1527777777797</v>
      </c>
      <c r="AB1067" s="107" t="s">
        <v>478</v>
      </c>
      <c r="AC1067" s="105"/>
      <c r="AD1067" s="105"/>
    </row>
    <row r="1068" spans="1:30">
      <c r="A1068" s="105">
        <f t="shared" si="16"/>
        <v>1067</v>
      </c>
      <c r="B1068" s="371">
        <f>YEAR(Table6[[#This Row],[Date]])+IF(MONTH(Table6[[#This Row],[Date]])&gt;=4,1,0)</f>
        <v>2026</v>
      </c>
      <c r="C1068" s="372">
        <f>YEAR(Table6[[#This Row],[Date]])</f>
        <v>2025</v>
      </c>
      <c r="D1068" s="105" t="s">
        <v>490</v>
      </c>
      <c r="E1068" s="119">
        <f>Table6[[#This Row],[Date]]-DAY(Table6[[#This Row],[Date]])+1</f>
        <v>45839</v>
      </c>
      <c r="F1068" s="373">
        <v>45867</v>
      </c>
      <c r="G1068" s="407" t="s">
        <v>138</v>
      </c>
      <c r="H1068" s="39" t="str">
        <f>_xlfn.XLOOKUP(Table6[[#This Row],[Affected WTG]],'Basic Data'!$A:$A,'Basic Data'!$B:$B)</f>
        <v>PWEGPL</v>
      </c>
      <c r="I1068" s="39" t="str">
        <f>_xlfn.XLOOKUP(Table6[[#This Row],[Affected WTG]],'Basic Data'!$A:$A,'Basic Data'!$C:$C)</f>
        <v>MSEDCL</v>
      </c>
      <c r="J1068" s="381">
        <f>IFERROR(VLOOKUP(Table6[[#This Row],[Affected WTG]],'Basic Data'!$A$3:$E$56,5,0),"")</f>
        <v>2.564102564102564E-2</v>
      </c>
      <c r="K1068" s="105">
        <v>2118</v>
      </c>
      <c r="L1068" s="387" t="str">
        <f>IFERROR(VLOOKUP(Table6[[#This Row],[Error Code]],'Basic Data'!$T:$U,2,0),"")</f>
        <v>Bus Error - Interbus Failure</v>
      </c>
      <c r="M1068" s="346" t="s">
        <v>462</v>
      </c>
      <c r="N1068" s="105" t="s">
        <v>1270</v>
      </c>
      <c r="O1068" s="330">
        <v>0.29791666666666666</v>
      </c>
      <c r="P1068" s="330">
        <v>0.54097222222222219</v>
      </c>
      <c r="Q1068" s="330">
        <v>0.54166666666666663</v>
      </c>
      <c r="R1068" s="382">
        <f>IF(Table6[[#This Row],[Work Start TimeStamp]]="","",(Table6[[#This Row],[Work Start TimeStamp]]-Table6[[#This Row],[Fault Start TimeStamp]])*24)</f>
        <v>5.8333333333333321</v>
      </c>
      <c r="S1068" s="382">
        <f>(Table6[[#This Row],[Fault Clearance time]]-Table6[[#This Row],[Work Start TimeStamp]])*24</f>
        <v>1.6666666666666607E-2</v>
      </c>
      <c r="T1068" s="385">
        <f>(Table6[[#This Row],[Fault Clearance time]]-Table6[[#This Row],[Fault Start TimeStamp]])*24</f>
        <v>5.85</v>
      </c>
      <c r="U1068" s="346" t="s">
        <v>493</v>
      </c>
      <c r="V1068" s="346" t="s">
        <v>463</v>
      </c>
      <c r="W1068" s="377">
        <f>Table6[[#This Row],[Breakdown Time]]*(1/39)</f>
        <v>0.15</v>
      </c>
      <c r="X1068" s="337" t="s">
        <v>465</v>
      </c>
      <c r="Y1068" s="346" t="s">
        <v>140</v>
      </c>
      <c r="Z1068" s="105">
        <v>23405</v>
      </c>
      <c r="AA1068" s="107">
        <f>IFERROR((Table6[[#This Row],[Paired WTG Generation for loss calculation]]/24)*Table6[[#This Row],[Breakdown Time]],"")</f>
        <v>5704.96875</v>
      </c>
      <c r="AB1068" s="107" t="s">
        <v>478</v>
      </c>
      <c r="AC1068" s="105"/>
      <c r="AD1068" s="105"/>
    </row>
  </sheetData>
  <phoneticPr fontId="9" type="noConversion"/>
  <conditionalFormatting sqref="L1:L1048576">
    <cfRule type="containsText" dxfId="2"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N2:N1068</xm:sqref>
        </x14:dataValidation>
        <x14:dataValidation type="list" allowBlank="1" showInputMessage="1" showErrorMessage="1" xr:uid="{9F985FD0-A7AB-4577-A56E-E34E947D4F80}">
          <x14:formula1>
            <xm:f>'Basic Data'!$W$2:$W$14</xm:f>
          </x14:formula1>
          <xm:sqref>X2:X1068</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3"/>
  <sheetViews>
    <sheetView workbookViewId="0">
      <pane xSplit="6" ySplit="1" topLeftCell="G46" activePane="bottomRight" state="frozen"/>
      <selection pane="topRight" activeCell="G1" sqref="G1"/>
      <selection pane="bottomLeft" activeCell="A2" sqref="A2"/>
      <selection pane="bottomRight" activeCell="A63" sqref="A63"/>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3"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86">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86">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86">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86">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row r="63" spans="1:23">
      <c r="A63" s="105">
        <f t="shared" si="0"/>
        <v>62</v>
      </c>
      <c r="B63">
        <f>YEAR(Table8[[#This Row],[Date]])+IF(MONTH(Table8[[#This Row],[Date]])&gt;=4,1,0)</f>
        <v>2026</v>
      </c>
      <c r="C63" s="105">
        <f>YEAR(Table6[[#This Row],[Date]])</f>
        <v>2025</v>
      </c>
      <c r="D63" s="105" t="s">
        <v>461</v>
      </c>
      <c r="E63" s="119">
        <f>Table8[[#This Row],[Date]]-DAY(Table8[[#This Row],[Date]])+1</f>
        <v>45839</v>
      </c>
      <c r="F63" s="118">
        <v>45865</v>
      </c>
      <c r="G63" t="s">
        <v>618</v>
      </c>
      <c r="H63" t="s">
        <v>484</v>
      </c>
      <c r="I63" t="s">
        <v>485</v>
      </c>
      <c r="J63" s="386">
        <f>IFERROR(_xlfn.XLOOKUP(Table8[[#This Row],[Affected Feeder ]],'Basic Data'!$A:$A,'Basic Data'!$E:$E),"")</f>
        <v>0.23076923076923078</v>
      </c>
      <c r="K63" t="s">
        <v>1237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1182</v>
      </c>
      <c r="S63" t="s">
        <v>463</v>
      </c>
      <c r="T63" s="130">
        <f>IFERROR(Table8[[#This Row],[Breakdown Time]]*Table8[[#This Row],[Plant Equivalent Weightage]],"")</f>
        <v>0.82307692307692304</v>
      </c>
      <c r="U63" t="s">
        <v>470</v>
      </c>
      <c r="V63" s="107">
        <v>47027</v>
      </c>
      <c r="W63" t="s">
        <v>621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1269</v>
      </c>
      <c r="T1">
        <v>100</v>
      </c>
      <c r="U1" t="s">
        <v>257</v>
      </c>
      <c r="W1" s="399" t="s">
        <v>458</v>
      </c>
      <c r="X1" s="400"/>
      <c r="Y1" s="400"/>
    </row>
    <row r="2" spans="1:25" ht="15.7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7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7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7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7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1"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3" activePane="bottomRight" state="frozen"/>
      <selection activeCell="AS104" sqref="AS104"/>
      <selection pane="topRight" activeCell="AS104" sqref="AS104"/>
      <selection pane="bottomLeft" activeCell="AS104" sqref="AS104"/>
      <selection pane="bottomRight" activeCell="A125" sqref="A125"/>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614</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614</v>
      </c>
    </row>
    <row r="125" spans="1:45">
      <c r="A125" s="144">
        <f t="shared" si="8"/>
        <v>45867</v>
      </c>
      <c r="B125" s="141">
        <f>YEAR(Table7[[#This Row],[Date]])+IF(MONTH(Table7[[#This Row],[Date]])&gt;=4,1,0)</f>
        <v>2026</v>
      </c>
      <c r="C125" s="141">
        <f>YEAR(Table7[[#This Row],[Date]])</f>
        <v>2025</v>
      </c>
      <c r="D125" s="143">
        <f t="shared" si="7"/>
        <v>45839</v>
      </c>
      <c r="E125" s="141">
        <v>0</v>
      </c>
      <c r="F125" s="141">
        <v>0</v>
      </c>
      <c r="G125" s="141">
        <v>0</v>
      </c>
      <c r="H125" s="141">
        <v>0</v>
      </c>
      <c r="I125" s="141">
        <v>0</v>
      </c>
      <c r="J125" s="141">
        <v>0</v>
      </c>
      <c r="K125" s="141">
        <v>0</v>
      </c>
      <c r="L125" s="141">
        <v>0</v>
      </c>
      <c r="M125" s="141">
        <v>0</v>
      </c>
      <c r="N125" s="141">
        <v>0</v>
      </c>
      <c r="O125" s="141">
        <v>0</v>
      </c>
      <c r="P125" s="141">
        <v>0</v>
      </c>
      <c r="Q125" s="141">
        <v>0</v>
      </c>
      <c r="R125" s="141">
        <v>0</v>
      </c>
      <c r="S125" s="141">
        <v>0</v>
      </c>
      <c r="T125" s="141">
        <v>0</v>
      </c>
      <c r="U125" s="141">
        <v>0</v>
      </c>
      <c r="V125" s="141">
        <v>0</v>
      </c>
      <c r="W125" s="141">
        <v>0</v>
      </c>
      <c r="X125" s="141">
        <v>0</v>
      </c>
      <c r="Y125" s="141">
        <v>0</v>
      </c>
      <c r="Z125" s="141">
        <v>0</v>
      </c>
      <c r="AA125" s="141">
        <v>0</v>
      </c>
      <c r="AB125" s="141">
        <v>0</v>
      </c>
      <c r="AC125" s="141">
        <v>0</v>
      </c>
      <c r="AD125" s="141">
        <v>0</v>
      </c>
      <c r="AE125" s="141">
        <v>0</v>
      </c>
      <c r="AF125" s="141">
        <v>0</v>
      </c>
      <c r="AG125" s="141">
        <v>0</v>
      </c>
      <c r="AH125" s="141">
        <v>0</v>
      </c>
      <c r="AI125" s="141">
        <v>0</v>
      </c>
      <c r="AJ125" s="141">
        <v>0</v>
      </c>
      <c r="AK125" s="141">
        <v>0</v>
      </c>
      <c r="AL125" s="141">
        <v>0</v>
      </c>
      <c r="AM125" s="141">
        <v>0</v>
      </c>
      <c r="AN125" s="141">
        <v>0</v>
      </c>
      <c r="AO125" s="141">
        <v>0</v>
      </c>
      <c r="AP125" s="141">
        <v>0</v>
      </c>
      <c r="AQ125" s="141">
        <v>0</v>
      </c>
      <c r="AR125" s="141">
        <f t="shared" si="6"/>
        <v>0</v>
      </c>
      <c r="AS125" s="169" t="s">
        <v>614</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322"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1" t="s">
        <v>1013</v>
      </c>
      <c r="B1" s="402"/>
      <c r="C1" s="402"/>
      <c r="D1" s="402"/>
      <c r="E1" s="402"/>
      <c r="F1" s="402"/>
      <c r="G1" s="402"/>
      <c r="H1" s="402"/>
      <c r="I1" s="402"/>
      <c r="J1" s="402"/>
      <c r="K1" s="402"/>
      <c r="L1" s="402"/>
      <c r="M1" s="402"/>
      <c r="N1" s="402"/>
      <c r="O1" s="402"/>
      <c r="P1" s="402"/>
      <c r="Q1" s="402"/>
      <c r="R1" s="402"/>
      <c r="S1" s="402"/>
      <c r="T1" s="402"/>
      <c r="U1" s="402"/>
      <c r="V1" s="402"/>
      <c r="W1" s="402"/>
      <c r="X1" s="402"/>
      <c r="Y1" s="402"/>
      <c r="Z1" s="402"/>
      <c r="AA1" s="402"/>
      <c r="AB1" s="402"/>
      <c r="AC1" s="402"/>
      <c r="AD1" s="402"/>
      <c r="AE1" s="402"/>
      <c r="AF1" s="402"/>
      <c r="AG1" s="402"/>
      <c r="AH1" s="402"/>
      <c r="AI1" s="402"/>
      <c r="AJ1" s="402"/>
      <c r="AK1" s="402"/>
      <c r="AL1" s="402"/>
      <c r="AM1" s="402"/>
      <c r="AN1" s="402"/>
      <c r="AO1" s="402"/>
      <c r="AP1" s="402"/>
      <c r="AQ1" s="402"/>
      <c r="AR1" s="402"/>
      <c r="AS1" s="402"/>
      <c r="AT1" s="402"/>
      <c r="AU1" s="402"/>
      <c r="AV1" s="403"/>
      <c r="AW1" s="174"/>
      <c r="AX1" s="174"/>
      <c r="AY1" s="174"/>
      <c r="AZ1" s="174"/>
      <c r="BA1" s="174"/>
      <c r="BB1" s="174"/>
      <c r="BC1" s="174"/>
      <c r="BE1" s="175"/>
    </row>
    <row r="2" spans="1:61" ht="15" customHeight="1">
      <c r="A2" s="404"/>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405"/>
      <c r="AD2" s="405"/>
      <c r="AE2" s="405"/>
      <c r="AF2" s="405"/>
      <c r="AG2" s="405"/>
      <c r="AH2" s="405"/>
      <c r="AI2" s="405"/>
      <c r="AJ2" s="405"/>
      <c r="AK2" s="405"/>
      <c r="AL2" s="405"/>
      <c r="AM2" s="405"/>
      <c r="AN2" s="405"/>
      <c r="AO2" s="405"/>
      <c r="AP2" s="405"/>
      <c r="AQ2" s="405"/>
      <c r="AR2" s="405"/>
      <c r="AS2" s="405"/>
      <c r="AT2" s="405"/>
      <c r="AU2" s="405"/>
      <c r="AV2" s="406"/>
      <c r="AW2" s="176"/>
      <c r="AX2" s="176"/>
      <c r="AY2" s="176"/>
      <c r="AZ2" s="176"/>
      <c r="BA2" s="176"/>
      <c r="BB2" s="176"/>
      <c r="BC2" s="176"/>
      <c r="BE2" s="175"/>
    </row>
    <row r="3" spans="1:61" ht="15" customHeight="1" thickBot="1">
      <c r="A3" s="404"/>
      <c r="B3" s="405"/>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5"/>
      <c r="AQ3" s="405"/>
      <c r="AR3" s="405"/>
      <c r="AS3" s="405"/>
      <c r="AT3" s="405"/>
      <c r="AU3" s="405"/>
      <c r="AV3" s="406"/>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7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95"/>
  <sheetViews>
    <sheetView workbookViewId="0">
      <pane xSplit="2" ySplit="2" topLeftCell="C180" activePane="bottomRight" state="frozen"/>
      <selection pane="topRight" activeCell="C1" sqref="C1"/>
      <selection pane="bottomLeft" activeCell="A3" sqref="A3"/>
      <selection pane="bottomRight" activeCell="A196" sqref="A196"/>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row r="192" spans="1:6">
      <c r="A192" s="1">
        <v>190</v>
      </c>
      <c r="B192" s="106">
        <v>45865</v>
      </c>
      <c r="C192" t="s">
        <v>115</v>
      </c>
      <c r="D192" t="s">
        <v>1409</v>
      </c>
      <c r="E192">
        <v>1</v>
      </c>
      <c r="F192" t="s">
        <v>659</v>
      </c>
    </row>
    <row r="193" spans="1:6">
      <c r="A193" s="1">
        <v>191</v>
      </c>
      <c r="B193" s="106">
        <v>45865</v>
      </c>
      <c r="C193" t="s">
        <v>139</v>
      </c>
      <c r="D193" t="s">
        <v>1408</v>
      </c>
      <c r="E193">
        <v>1</v>
      </c>
      <c r="F193" t="s">
        <v>659</v>
      </c>
    </row>
    <row r="194" spans="1:6">
      <c r="A194" s="1">
        <v>192</v>
      </c>
      <c r="B194" s="106">
        <v>45866</v>
      </c>
      <c r="C194" t="s">
        <v>115</v>
      </c>
      <c r="D194" t="s">
        <v>1411</v>
      </c>
      <c r="E194">
        <v>1</v>
      </c>
      <c r="F194" t="s">
        <v>659</v>
      </c>
    </row>
    <row r="195" spans="1:6">
      <c r="A195" s="1">
        <v>193</v>
      </c>
      <c r="B195" s="106">
        <v>45866</v>
      </c>
      <c r="C195" t="s">
        <v>135</v>
      </c>
      <c r="D195" t="s">
        <v>667</v>
      </c>
      <c r="E195">
        <v>1</v>
      </c>
      <c r="F195"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3.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Surender Singh</cp:lastModifiedBy>
  <cp:revision/>
  <dcterms:created xsi:type="dcterms:W3CDTF">2015-06-05T18:17:20Z</dcterms:created>
  <dcterms:modified xsi:type="dcterms:W3CDTF">2025-07-30T02:52:48Z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