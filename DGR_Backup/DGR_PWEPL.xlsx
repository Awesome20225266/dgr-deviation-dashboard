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13_ncr:1_{9320518D-B831-4CD2-9A94-B488A92A0A39}" xr6:coauthVersionLast="47" xr6:coauthVersionMax="47" xr10:uidLastSave="{00000000-0000-0000-0000-000000000000}"/>
  <bookViews>
    <workbookView xWindow="-110" yWindow="-110" windowWidth="19420" windowHeight="10300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5" i="18" l="1"/>
  <c r="J366" i="18"/>
  <c r="CP120" i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I366" i="18"/>
  <c r="L366" i="18"/>
  <c r="H365" i="18"/>
  <c r="H366" i="18"/>
  <c r="I365" i="18"/>
  <c r="L365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CV119" i="1"/>
  <c r="DD119" i="1" s="1"/>
  <c r="CX119" i="1"/>
  <c r="DF119" i="1" s="1"/>
  <c r="CZ119" i="1"/>
  <c r="DH119" i="1" s="1"/>
  <c r="DB119" i="1"/>
  <c r="DK119" i="1"/>
  <c r="DJ119" i="1" l="1"/>
  <c r="DL119" i="1" s="1"/>
  <c r="B364" i="18" l="1"/>
  <c r="C364" i="18"/>
  <c r="E364" i="18"/>
  <c r="R364" i="18"/>
  <c r="S364" i="18"/>
  <c r="T364" i="18"/>
  <c r="I364" i="18"/>
  <c r="L364" i="18"/>
  <c r="H364" i="18"/>
  <c r="CP118" i="1" l="1"/>
  <c r="CQ118" i="1"/>
  <c r="CR118" i="1"/>
  <c r="CT118" i="1"/>
  <c r="CV118" i="1"/>
  <c r="DD118" i="1" s="1"/>
  <c r="CX118" i="1"/>
  <c r="DF118" i="1" s="1"/>
  <c r="CZ118" i="1"/>
  <c r="DH118" i="1" s="1"/>
  <c r="DB118" i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3" i="18"/>
  <c r="H362" i="18"/>
  <c r="L363" i="18"/>
  <c r="H363" i="18"/>
  <c r="I362" i="18"/>
  <c r="L362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1116" i="19"/>
  <c r="H1116" i="19"/>
  <c r="I1115" i="19"/>
  <c r="H1115" i="19"/>
  <c r="I1114" i="19"/>
  <c r="H1114" i="19"/>
  <c r="I1113" i="19"/>
  <c r="H1113" i="19"/>
  <c r="I1112" i="19"/>
  <c r="H1112" i="19"/>
  <c r="I1111" i="19"/>
  <c r="H1111" i="19"/>
  <c r="I1110" i="19"/>
  <c r="H1110" i="19"/>
  <c r="I1109" i="19"/>
  <c r="H1109" i="19"/>
  <c r="I1108" i="19"/>
  <c r="H1108" i="19"/>
  <c r="I1107" i="19"/>
  <c r="H1107" i="19"/>
  <c r="I1106" i="19"/>
  <c r="H1106" i="19"/>
  <c r="I1105" i="19"/>
  <c r="H1105" i="19"/>
  <c r="H1104" i="19"/>
  <c r="I1104" i="19"/>
  <c r="I1103" i="19"/>
  <c r="H1103" i="19"/>
  <c r="H1099" i="19"/>
  <c r="I1097" i="19"/>
  <c r="I1101" i="19"/>
  <c r="H1100" i="19"/>
  <c r="I1098" i="19"/>
  <c r="I1102" i="19"/>
  <c r="H1097" i="19"/>
  <c r="H1101" i="19"/>
  <c r="I1099" i="19"/>
  <c r="H1098" i="19"/>
  <c r="H1102" i="19"/>
  <c r="I1100" i="19"/>
  <c r="I1096" i="19"/>
  <c r="H1096" i="19"/>
  <c r="H361" i="18"/>
  <c r="L356" i="18"/>
  <c r="I356" i="18"/>
  <c r="H358" i="18"/>
  <c r="I357" i="18"/>
  <c r="H356" i="18"/>
  <c r="I358" i="18"/>
  <c r="H357" i="18"/>
  <c r="I360" i="18"/>
  <c r="L358" i="18"/>
  <c r="L360" i="18"/>
  <c r="I361" i="18"/>
  <c r="L361" i="18"/>
  <c r="L357" i="18"/>
  <c r="L359" i="18"/>
  <c r="H360" i="18"/>
  <c r="I359" i="18"/>
  <c r="H359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4" i="19"/>
  <c r="I1095" i="19"/>
  <c r="H1094" i="19"/>
  <c r="H1095" i="19"/>
  <c r="L354" i="18"/>
  <c r="I353" i="18"/>
  <c r="H355" i="18"/>
  <c r="L355" i="18"/>
  <c r="H353" i="18"/>
  <c r="I352" i="18"/>
  <c r="I354" i="18"/>
  <c r="I355" i="18"/>
  <c r="H354" i="18"/>
  <c r="L352" i="18"/>
  <c r="H352" i="18"/>
  <c r="L353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I351" i="18"/>
  <c r="L351" i="18"/>
  <c r="H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L350" i="18"/>
  <c r="H350" i="18"/>
  <c r="L349" i="18"/>
  <c r="I349" i="18"/>
  <c r="H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H348" i="18"/>
  <c r="H347" i="18"/>
  <c r="H346" i="18"/>
  <c r="L347" i="18"/>
  <c r="I348" i="18"/>
  <c r="I347" i="18"/>
  <c r="L348" i="18"/>
  <c r="I346" i="18"/>
  <c r="L346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H345" i="18"/>
  <c r="I345" i="18"/>
  <c r="L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4" i="18"/>
  <c r="H344" i="18"/>
  <c r="L344" i="18"/>
  <c r="L343" i="18"/>
  <c r="H343" i="18"/>
  <c r="I343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L341" i="18"/>
  <c r="H342" i="18"/>
  <c r="H341" i="18"/>
  <c r="I341" i="18"/>
  <c r="L342" i="18"/>
  <c r="I342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L340" i="18"/>
  <c r="H340" i="18"/>
  <c r="I339" i="18"/>
  <c r="I340" i="18"/>
  <c r="H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L338" i="18"/>
  <c r="H338" i="18"/>
  <c r="L337" i="18"/>
  <c r="H337" i="18"/>
  <c r="I338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H1089" i="19"/>
  <c r="H1093" i="19"/>
  <c r="H1090" i="19"/>
  <c r="H1091" i="19"/>
  <c r="I1093" i="19"/>
  <c r="I1089" i="19"/>
  <c r="I1088" i="19"/>
  <c r="I1091" i="19"/>
  <c r="H1092" i="19"/>
  <c r="I1090" i="19"/>
  <c r="I1092" i="19"/>
  <c r="H1088" i="19"/>
  <c r="H332" i="18"/>
  <c r="H331" i="18"/>
  <c r="L332" i="18"/>
  <c r="L333" i="18"/>
  <c r="H334" i="18"/>
  <c r="I331" i="18"/>
  <c r="L334" i="18"/>
  <c r="I333" i="18"/>
  <c r="I336" i="18"/>
  <c r="H333" i="18"/>
  <c r="L335" i="18"/>
  <c r="L336" i="18"/>
  <c r="H335" i="18"/>
  <c r="I332" i="18"/>
  <c r="H336" i="18"/>
  <c r="I335" i="18"/>
  <c r="I334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H1086" i="19"/>
  <c r="I1084" i="19"/>
  <c r="I1083" i="19"/>
  <c r="H1084" i="19"/>
  <c r="I1086" i="19"/>
  <c r="H1083" i="19"/>
  <c r="I1085" i="19"/>
  <c r="H1087" i="19"/>
  <c r="H1085" i="19"/>
  <c r="H327" i="18"/>
  <c r="L324" i="18"/>
  <c r="I328" i="18"/>
  <c r="L330" i="18"/>
  <c r="I325" i="18"/>
  <c r="I329" i="18"/>
  <c r="L325" i="18"/>
  <c r="L326" i="18"/>
  <c r="H329" i="18"/>
  <c r="H325" i="18"/>
  <c r="L328" i="18"/>
  <c r="H326" i="18"/>
  <c r="H330" i="18"/>
  <c r="I324" i="18"/>
  <c r="H328" i="18"/>
  <c r="I326" i="18"/>
  <c r="H324" i="18"/>
  <c r="L327" i="18"/>
  <c r="I327" i="18"/>
  <c r="I330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I322" i="18"/>
  <c r="L322" i="18"/>
  <c r="I323" i="18"/>
  <c r="H323" i="18"/>
  <c r="L323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L317" i="18"/>
  <c r="L321" i="18"/>
  <c r="L319" i="18"/>
  <c r="L318" i="18"/>
  <c r="I317" i="18"/>
  <c r="H320" i="18"/>
  <c r="H321" i="18"/>
  <c r="H318" i="18"/>
  <c r="H319" i="18"/>
  <c r="I320" i="18"/>
  <c r="I319" i="18"/>
  <c r="H317" i="18"/>
  <c r="I318" i="18"/>
  <c r="L320" i="18"/>
  <c r="I321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H1079" i="19"/>
  <c r="H1081" i="19"/>
  <c r="H1080" i="19"/>
  <c r="I1080" i="19"/>
  <c r="I1081" i="19"/>
  <c r="I1082" i="19"/>
  <c r="H1082" i="19"/>
  <c r="I1079" i="19"/>
  <c r="L307" i="18"/>
  <c r="I315" i="18"/>
  <c r="H303" i="18"/>
  <c r="I310" i="18"/>
  <c r="L313" i="18"/>
  <c r="H304" i="18"/>
  <c r="L308" i="18"/>
  <c r="H305" i="18"/>
  <c r="I311" i="18"/>
  <c r="L312" i="18"/>
  <c r="H314" i="18"/>
  <c r="L305" i="18"/>
  <c r="L303" i="18"/>
  <c r="H312" i="18"/>
  <c r="H309" i="18"/>
  <c r="H307" i="18"/>
  <c r="H316" i="18"/>
  <c r="L309" i="18"/>
  <c r="I303" i="18"/>
  <c r="L310" i="18"/>
  <c r="H315" i="18"/>
  <c r="L304" i="18"/>
  <c r="H311" i="18"/>
  <c r="L314" i="18"/>
  <c r="H306" i="18"/>
  <c r="I314" i="18"/>
  <c r="I316" i="18"/>
  <c r="L306" i="18"/>
  <c r="H313" i="18"/>
  <c r="H308" i="18"/>
  <c r="I309" i="18"/>
  <c r="I304" i="18"/>
  <c r="I307" i="18"/>
  <c r="H310" i="18"/>
  <c r="I312" i="18"/>
  <c r="L315" i="18"/>
  <c r="L316" i="18"/>
  <c r="I313" i="18"/>
  <c r="I305" i="18"/>
  <c r="I306" i="18"/>
  <c r="L311" i="18"/>
  <c r="I308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H1070" i="19"/>
  <c r="I1067" i="19"/>
  <c r="I1069" i="19"/>
  <c r="H1062" i="19"/>
  <c r="H1066" i="19"/>
  <c r="H1075" i="19"/>
  <c r="H1077" i="19"/>
  <c r="H1076" i="19"/>
  <c r="I1077" i="19"/>
  <c r="I1070" i="19"/>
  <c r="I1068" i="19"/>
  <c r="I1076" i="19"/>
  <c r="H1064" i="19"/>
  <c r="I1073" i="19"/>
  <c r="H1069" i="19"/>
  <c r="I1075" i="19"/>
  <c r="I1065" i="19"/>
  <c r="H1071" i="19"/>
  <c r="H1068" i="19"/>
  <c r="H1067" i="19"/>
  <c r="H1065" i="19"/>
  <c r="I1066" i="19"/>
  <c r="I1071" i="19"/>
  <c r="H1072" i="19"/>
  <c r="H1060" i="19"/>
  <c r="I1060" i="19"/>
  <c r="I1074" i="19"/>
  <c r="H1063" i="19"/>
  <c r="I1078" i="19"/>
  <c r="I1072" i="19"/>
  <c r="H1078" i="19"/>
  <c r="H1061" i="19"/>
  <c r="I1062" i="19"/>
  <c r="I1063" i="19"/>
  <c r="I1061" i="19"/>
  <c r="H1073" i="19"/>
  <c r="I1064" i="19"/>
  <c r="H1074" i="19"/>
  <c r="L301" i="18"/>
  <c r="I297" i="18"/>
  <c r="H301" i="18"/>
  <c r="I295" i="18"/>
  <c r="H298" i="18"/>
  <c r="L302" i="18"/>
  <c r="I301" i="18"/>
  <c r="L298" i="18"/>
  <c r="I298" i="18"/>
  <c r="I296" i="18"/>
  <c r="L297" i="18"/>
  <c r="I302" i="18"/>
  <c r="L299" i="18"/>
  <c r="L294" i="18"/>
  <c r="H302" i="18"/>
  <c r="H294" i="18"/>
  <c r="H297" i="18"/>
  <c r="L295" i="18"/>
  <c r="I300" i="18"/>
  <c r="L300" i="18"/>
  <c r="L296" i="18"/>
  <c r="H295" i="18"/>
  <c r="H300" i="18"/>
  <c r="I294" i="18"/>
  <c r="H293" i="18"/>
  <c r="L293" i="18"/>
  <c r="I299" i="18"/>
  <c r="I293" i="18"/>
  <c r="H299" i="18"/>
  <c r="H296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9" i="19"/>
  <c r="H1057" i="19"/>
  <c r="H1058" i="19"/>
  <c r="H1056" i="19"/>
  <c r="I1057" i="19"/>
  <c r="I1056" i="19"/>
  <c r="I1058" i="19"/>
  <c r="H1059" i="19"/>
  <c r="I290" i="18"/>
  <c r="L289" i="18"/>
  <c r="L292" i="18"/>
  <c r="I292" i="18"/>
  <c r="H289" i="18"/>
  <c r="L291" i="18"/>
  <c r="I287" i="18"/>
  <c r="L286" i="18"/>
  <c r="I289" i="18"/>
  <c r="I291" i="18"/>
  <c r="H290" i="18"/>
  <c r="L288" i="18"/>
  <c r="I286" i="18"/>
  <c r="H286" i="18"/>
  <c r="I288" i="18"/>
  <c r="H288" i="18"/>
  <c r="H287" i="18"/>
  <c r="L290" i="18"/>
  <c r="H292" i="18"/>
  <c r="H291" i="18"/>
  <c r="L287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I1055" i="19"/>
  <c r="I1054" i="19"/>
  <c r="I1053" i="19"/>
  <c r="H1052" i="19"/>
  <c r="H1053" i="19"/>
  <c r="H1054" i="19"/>
  <c r="I1052" i="19"/>
  <c r="I285" i="18"/>
  <c r="H283" i="18"/>
  <c r="H281" i="18"/>
  <c r="I284" i="18"/>
  <c r="L281" i="18"/>
  <c r="H285" i="18"/>
  <c r="H282" i="18"/>
  <c r="H280" i="18"/>
  <c r="L284" i="18"/>
  <c r="L283" i="18"/>
  <c r="I281" i="18"/>
  <c r="I280" i="18"/>
  <c r="H284" i="18"/>
  <c r="I282" i="18"/>
  <c r="L285" i="18"/>
  <c r="L282" i="18"/>
  <c r="I283" i="18"/>
  <c r="L280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1049" i="19"/>
  <c r="I1045" i="19"/>
  <c r="H1048" i="19"/>
  <c r="H1046" i="19"/>
  <c r="I1047" i="19"/>
  <c r="I1051" i="19"/>
  <c r="I1046" i="19"/>
  <c r="H1043" i="19"/>
  <c r="I1048" i="19"/>
  <c r="H1050" i="19"/>
  <c r="H1051" i="19"/>
  <c r="I1049" i="19"/>
  <c r="I1044" i="19"/>
  <c r="I1043" i="19"/>
  <c r="I1050" i="19"/>
  <c r="H1045" i="19"/>
  <c r="H1047" i="19"/>
  <c r="H1044" i="19"/>
  <c r="I278" i="18"/>
  <c r="L279" i="18"/>
  <c r="L278" i="18"/>
  <c r="H278" i="18"/>
  <c r="I279" i="18"/>
  <c r="L277" i="18"/>
  <c r="H279" i="18"/>
  <c r="H277" i="18"/>
  <c r="I277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I276" i="18"/>
  <c r="I275" i="18"/>
  <c r="H276" i="18"/>
  <c r="H274" i="18"/>
  <c r="I274" i="18"/>
  <c r="L276" i="18"/>
  <c r="L275" i="18"/>
  <c r="H275" i="18"/>
  <c r="L274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H272" i="18"/>
  <c r="H271" i="18"/>
  <c r="L270" i="18"/>
  <c r="H273" i="18"/>
  <c r="I271" i="18"/>
  <c r="L271" i="18"/>
  <c r="H270" i="18"/>
  <c r="L273" i="18"/>
  <c r="L272" i="18"/>
  <c r="I273" i="18"/>
  <c r="I272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1042" i="19"/>
  <c r="I1029" i="19"/>
  <c r="I1031" i="19"/>
  <c r="H1041" i="19"/>
  <c r="I1033" i="19"/>
  <c r="I1038" i="19"/>
  <c r="H1040" i="19"/>
  <c r="I1042" i="19"/>
  <c r="H1032" i="19"/>
  <c r="H1035" i="19"/>
  <c r="H1033" i="19"/>
  <c r="I1030" i="19"/>
  <c r="H1030" i="19"/>
  <c r="I1037" i="19"/>
  <c r="H1039" i="19"/>
  <c r="I1041" i="19"/>
  <c r="I1035" i="19"/>
  <c r="I1039" i="19"/>
  <c r="H1034" i="19"/>
  <c r="H1036" i="19"/>
  <c r="H1037" i="19"/>
  <c r="H1029" i="19"/>
  <c r="I1040" i="19"/>
  <c r="H1038" i="19"/>
  <c r="I1036" i="19"/>
  <c r="I1032" i="19"/>
  <c r="I1034" i="19"/>
  <c r="H1031" i="19"/>
  <c r="I267" i="18"/>
  <c r="L266" i="18"/>
  <c r="L265" i="18"/>
  <c r="I265" i="18"/>
  <c r="H265" i="18"/>
  <c r="H264" i="18"/>
  <c r="H266" i="18"/>
  <c r="L269" i="18"/>
  <c r="L268" i="18"/>
  <c r="H268" i="18"/>
  <c r="L264" i="18"/>
  <c r="I269" i="18"/>
  <c r="L267" i="18"/>
  <c r="I268" i="18"/>
  <c r="I264" i="18"/>
  <c r="I266" i="18"/>
  <c r="H267" i="18"/>
  <c r="H269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L256" i="18"/>
  <c r="L259" i="18"/>
  <c r="I257" i="18"/>
  <c r="H259" i="18"/>
  <c r="H261" i="18"/>
  <c r="I263" i="18"/>
  <c r="I256" i="18"/>
  <c r="I258" i="18"/>
  <c r="L261" i="18"/>
  <c r="I259" i="18"/>
  <c r="I262" i="18"/>
  <c r="L257" i="18"/>
  <c r="L262" i="18"/>
  <c r="H257" i="18"/>
  <c r="I261" i="18"/>
  <c r="H258" i="18"/>
  <c r="H263" i="18"/>
  <c r="H256" i="18"/>
  <c r="L258" i="18"/>
  <c r="L260" i="18"/>
  <c r="I260" i="18"/>
  <c r="H262" i="18"/>
  <c r="H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H1022" i="19"/>
  <c r="I1016" i="19"/>
  <c r="I1025" i="19"/>
  <c r="H1018" i="19"/>
  <c r="H1024" i="19"/>
  <c r="I1017" i="19"/>
  <c r="H1027" i="19"/>
  <c r="H1012" i="19"/>
  <c r="I1027" i="19"/>
  <c r="I1019" i="19"/>
  <c r="I1022" i="19"/>
  <c r="I1012" i="19"/>
  <c r="H1025" i="19"/>
  <c r="I1013" i="19"/>
  <c r="H1017" i="19"/>
  <c r="H1021" i="19"/>
  <c r="H1019" i="19"/>
  <c r="I1026" i="19"/>
  <c r="H1020" i="19"/>
  <c r="H1013" i="19"/>
  <c r="I1028" i="19"/>
  <c r="I1018" i="19"/>
  <c r="H1023" i="19"/>
  <c r="I1020" i="19"/>
  <c r="I1024" i="19"/>
  <c r="I1014" i="19"/>
  <c r="H1026" i="19"/>
  <c r="I1023" i="19"/>
  <c r="H1015" i="19"/>
  <c r="I1021" i="19"/>
  <c r="H1028" i="19"/>
  <c r="I1015" i="19"/>
  <c r="H1016" i="19"/>
  <c r="H1014" i="19"/>
  <c r="H255" i="18"/>
  <c r="L255" i="18"/>
  <c r="H250" i="18"/>
  <c r="I254" i="18"/>
  <c r="L250" i="18"/>
  <c r="I251" i="18"/>
  <c r="L252" i="18"/>
  <c r="L253" i="18"/>
  <c r="I255" i="18"/>
  <c r="L251" i="18"/>
  <c r="L254" i="18"/>
  <c r="H252" i="18"/>
  <c r="I253" i="18"/>
  <c r="H254" i="18"/>
  <c r="I252" i="18"/>
  <c r="H251" i="18"/>
  <c r="H253" i="18"/>
  <c r="I250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I1010" i="19"/>
  <c r="H1010" i="19"/>
  <c r="H1011" i="19"/>
  <c r="I1011" i="19"/>
  <c r="I246" i="18"/>
  <c r="L248" i="18"/>
  <c r="H248" i="18"/>
  <c r="I247" i="18"/>
  <c r="L245" i="18"/>
  <c r="H246" i="18"/>
  <c r="I249" i="18"/>
  <c r="L246" i="18"/>
  <c r="I248" i="18"/>
  <c r="I245" i="18"/>
  <c r="H245" i="18"/>
  <c r="L247" i="18"/>
  <c r="L249" i="18"/>
  <c r="H249" i="18"/>
  <c r="H247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4" i="19"/>
  <c r="H1009" i="19"/>
  <c r="H1004" i="19"/>
  <c r="I1006" i="19"/>
  <c r="H998" i="19"/>
  <c r="H1003" i="19"/>
  <c r="I992" i="19"/>
  <c r="H996" i="19"/>
  <c r="H990" i="19"/>
  <c r="H997" i="19"/>
  <c r="H1000" i="19"/>
  <c r="H1008" i="19"/>
  <c r="I1008" i="19"/>
  <c r="I996" i="19"/>
  <c r="I1005" i="19"/>
  <c r="I990" i="19"/>
  <c r="I997" i="19"/>
  <c r="H994" i="19"/>
  <c r="I1000" i="19"/>
  <c r="H993" i="19"/>
  <c r="H999" i="19"/>
  <c r="H991" i="19"/>
  <c r="I1009" i="19"/>
  <c r="I1003" i="19"/>
  <c r="I991" i="19"/>
  <c r="H992" i="19"/>
  <c r="I1002" i="19"/>
  <c r="I993" i="19"/>
  <c r="H995" i="19"/>
  <c r="I995" i="19"/>
  <c r="H1002" i="19"/>
  <c r="H1005" i="19"/>
  <c r="I1007" i="19"/>
  <c r="I998" i="19"/>
  <c r="H1006" i="19"/>
  <c r="I999" i="19"/>
  <c r="I1001" i="19"/>
  <c r="H1007" i="19"/>
  <c r="H1001" i="19"/>
  <c r="I1004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L230" i="18"/>
  <c r="L241" i="18"/>
  <c r="L242" i="18"/>
  <c r="L234" i="18"/>
  <c r="L223" i="18"/>
  <c r="L237" i="18"/>
  <c r="L218" i="18"/>
  <c r="L233" i="18"/>
  <c r="L238" i="18"/>
  <c r="H241" i="18"/>
  <c r="L235" i="18"/>
  <c r="L229" i="18"/>
  <c r="L232" i="18"/>
  <c r="I242" i="18"/>
  <c r="I239" i="18"/>
  <c r="H238" i="18"/>
  <c r="L227" i="18"/>
  <c r="L219" i="18"/>
  <c r="L244" i="18"/>
  <c r="L236" i="18"/>
  <c r="I241" i="18"/>
  <c r="L231" i="18"/>
  <c r="I243" i="18"/>
  <c r="I244" i="18"/>
  <c r="L224" i="18"/>
  <c r="L228" i="18"/>
  <c r="L217" i="18"/>
  <c r="H239" i="18"/>
  <c r="L222" i="18"/>
  <c r="L215" i="18"/>
  <c r="L216" i="18"/>
  <c r="L225" i="18"/>
  <c r="L240" i="18"/>
  <c r="I240" i="18"/>
  <c r="L239" i="18"/>
  <c r="H242" i="18"/>
  <c r="L221" i="18"/>
  <c r="L220" i="18"/>
  <c r="L243" i="18"/>
  <c r="H240" i="18"/>
  <c r="I238" i="18"/>
  <c r="H243" i="18"/>
  <c r="L226" i="18"/>
  <c r="H244" i="18"/>
  <c r="L214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H236" i="18"/>
  <c r="H237" i="18"/>
  <c r="I236" i="18"/>
  <c r="I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4" i="18"/>
  <c r="H233" i="18"/>
  <c r="I233" i="18"/>
  <c r="H232" i="18"/>
  <c r="I232" i="18"/>
  <c r="H234" i="18"/>
  <c r="H235" i="18"/>
  <c r="H231" i="18"/>
  <c r="I235" i="18"/>
  <c r="I231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963" i="19"/>
  <c r="H969" i="19"/>
  <c r="I979" i="19"/>
  <c r="H980" i="19"/>
  <c r="I959" i="19"/>
  <c r="H979" i="19"/>
  <c r="I974" i="19"/>
  <c r="H960" i="19"/>
  <c r="H983" i="19"/>
  <c r="H971" i="19"/>
  <c r="I964" i="19"/>
  <c r="H973" i="19"/>
  <c r="I962" i="19"/>
  <c r="H982" i="19"/>
  <c r="I986" i="19"/>
  <c r="I978" i="19"/>
  <c r="I981" i="19"/>
  <c r="H974" i="19"/>
  <c r="I987" i="19"/>
  <c r="I969" i="19"/>
  <c r="H959" i="19"/>
  <c r="H963" i="19"/>
  <c r="I988" i="19"/>
  <c r="I985" i="19"/>
  <c r="I971" i="19"/>
  <c r="I956" i="19"/>
  <c r="I983" i="19"/>
  <c r="H965" i="19"/>
  <c r="I977" i="19"/>
  <c r="H956" i="19"/>
  <c r="I976" i="19"/>
  <c r="H975" i="19"/>
  <c r="H984" i="19"/>
  <c r="H962" i="19"/>
  <c r="I965" i="19"/>
  <c r="H966" i="19"/>
  <c r="H978" i="19"/>
  <c r="H957" i="19"/>
  <c r="H968" i="19"/>
  <c r="H987" i="19"/>
  <c r="I966" i="19"/>
  <c r="I960" i="19"/>
  <c r="H967" i="19"/>
  <c r="H988" i="19"/>
  <c r="H989" i="19"/>
  <c r="I972" i="19"/>
  <c r="I975" i="19"/>
  <c r="I970" i="19"/>
  <c r="H958" i="19"/>
  <c r="H985" i="19"/>
  <c r="I984" i="19"/>
  <c r="I968" i="19"/>
  <c r="I957" i="19"/>
  <c r="H964" i="19"/>
  <c r="H977" i="19"/>
  <c r="H976" i="19"/>
  <c r="H961" i="19"/>
  <c r="I958" i="19"/>
  <c r="H981" i="19"/>
  <c r="H972" i="19"/>
  <c r="H986" i="19"/>
  <c r="I982" i="19"/>
  <c r="I967" i="19"/>
  <c r="I980" i="19"/>
  <c r="I989" i="19"/>
  <c r="I961" i="19"/>
  <c r="H970" i="19"/>
  <c r="I973" i="19"/>
  <c r="I229" i="18"/>
  <c r="I227" i="18"/>
  <c r="H224" i="18"/>
  <c r="L188" i="18"/>
  <c r="H226" i="18"/>
  <c r="I228" i="18"/>
  <c r="I225" i="18"/>
  <c r="L189" i="18"/>
  <c r="H229" i="18"/>
  <c r="I230" i="18"/>
  <c r="I224" i="18"/>
  <c r="H228" i="18"/>
  <c r="H230" i="18"/>
  <c r="H227" i="18"/>
  <c r="H225" i="18"/>
  <c r="I226" i="18"/>
  <c r="L190" i="18"/>
  <c r="L213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27" i="19"/>
  <c r="I955" i="19"/>
  <c r="I938" i="19"/>
  <c r="H953" i="19"/>
  <c r="H952" i="19"/>
  <c r="I950" i="19"/>
  <c r="H948" i="19"/>
  <c r="H944" i="19"/>
  <c r="I935" i="19"/>
  <c r="I942" i="19"/>
  <c r="H939" i="19"/>
  <c r="H951" i="19"/>
  <c r="H950" i="19"/>
  <c r="H928" i="19"/>
  <c r="H929" i="19"/>
  <c r="I946" i="19"/>
  <c r="H954" i="19"/>
  <c r="H949" i="19"/>
  <c r="H931" i="19"/>
  <c r="I933" i="19"/>
  <c r="I943" i="19"/>
  <c r="I945" i="19"/>
  <c r="H947" i="19"/>
  <c r="I927" i="19"/>
  <c r="H930" i="19"/>
  <c r="I934" i="19"/>
  <c r="I952" i="19"/>
  <c r="I949" i="19"/>
  <c r="I939" i="19"/>
  <c r="H955" i="19"/>
  <c r="H937" i="19"/>
  <c r="I947" i="19"/>
  <c r="H942" i="19"/>
  <c r="I937" i="19"/>
  <c r="I930" i="19"/>
  <c r="H940" i="19"/>
  <c r="H943" i="19"/>
  <c r="H932" i="19"/>
  <c r="H934" i="19"/>
  <c r="I951" i="19"/>
  <c r="I944" i="19"/>
  <c r="I928" i="19"/>
  <c r="H936" i="19"/>
  <c r="H941" i="19"/>
  <c r="I929" i="19"/>
  <c r="H938" i="19"/>
  <c r="I932" i="19"/>
  <c r="I948" i="19"/>
  <c r="I940" i="19"/>
  <c r="I953" i="19"/>
  <c r="H946" i="19"/>
  <c r="I941" i="19"/>
  <c r="H935" i="19"/>
  <c r="I936" i="19"/>
  <c r="I931" i="19"/>
  <c r="I954" i="19"/>
  <c r="H945" i="19"/>
  <c r="H933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I895" i="19"/>
  <c r="I53" i="19"/>
  <c r="H101" i="19"/>
  <c r="I732" i="19"/>
  <c r="I545" i="19"/>
  <c r="I466" i="19"/>
  <c r="I558" i="19"/>
  <c r="H340" i="19"/>
  <c r="I672" i="19"/>
  <c r="I711" i="19"/>
  <c r="I434" i="19"/>
  <c r="H490" i="19"/>
  <c r="I490" i="19"/>
  <c r="I312" i="19"/>
  <c r="H666" i="19"/>
  <c r="H801" i="19"/>
  <c r="I302" i="19"/>
  <c r="H46" i="19"/>
  <c r="I106" i="19"/>
  <c r="H365" i="19"/>
  <c r="H623" i="19"/>
  <c r="I226" i="19"/>
  <c r="H402" i="19"/>
  <c r="I743" i="19"/>
  <c r="H567" i="19"/>
  <c r="I566" i="19"/>
  <c r="H777" i="19"/>
  <c r="I41" i="19"/>
  <c r="H70" i="19"/>
  <c r="H630" i="19"/>
  <c r="H194" i="19"/>
  <c r="I635" i="19"/>
  <c r="H103" i="19"/>
  <c r="I649" i="19"/>
  <c r="I523" i="19"/>
  <c r="H416" i="19"/>
  <c r="I247" i="19"/>
  <c r="H661" i="19"/>
  <c r="I457" i="19"/>
  <c r="I464" i="19"/>
  <c r="H193" i="19"/>
  <c r="I114" i="19"/>
  <c r="I604" i="19"/>
  <c r="H184" i="19"/>
  <c r="H489" i="19"/>
  <c r="I644" i="19"/>
  <c r="H672" i="19"/>
  <c r="I448" i="19"/>
  <c r="I439" i="19"/>
  <c r="H162" i="19"/>
  <c r="I191" i="19"/>
  <c r="I252" i="19"/>
  <c r="I208" i="19"/>
  <c r="I805" i="19"/>
  <c r="I501" i="19"/>
  <c r="H465" i="19"/>
  <c r="I862" i="19"/>
  <c r="H507" i="19"/>
  <c r="I254" i="19"/>
  <c r="I606" i="19"/>
  <c r="H338" i="19"/>
  <c r="I611" i="19"/>
  <c r="I473" i="19"/>
  <c r="I405" i="19"/>
  <c r="I201" i="19"/>
  <c r="I699" i="19"/>
  <c r="I13" i="19"/>
  <c r="H900" i="19"/>
  <c r="H722" i="19"/>
  <c r="I91" i="19"/>
  <c r="I369" i="19"/>
  <c r="I636" i="19"/>
  <c r="I357" i="19"/>
  <c r="H522" i="19"/>
  <c r="H332" i="19"/>
  <c r="I76" i="19"/>
  <c r="I64" i="19"/>
  <c r="I726" i="19"/>
  <c r="I152" i="19"/>
  <c r="H471" i="19"/>
  <c r="I651" i="19"/>
  <c r="H113" i="19"/>
  <c r="I365" i="19"/>
  <c r="I349" i="19"/>
  <c r="I572" i="19"/>
  <c r="H893" i="19"/>
  <c r="H290" i="19"/>
  <c r="H141" i="19"/>
  <c r="H735" i="19"/>
  <c r="I507" i="19"/>
  <c r="H647" i="19"/>
  <c r="H677" i="19"/>
  <c r="H47" i="19"/>
  <c r="H657" i="19"/>
  <c r="I529" i="19"/>
  <c r="H573" i="19"/>
  <c r="H289" i="19"/>
  <c r="H77" i="19"/>
  <c r="I682" i="19"/>
  <c r="I56" i="19"/>
  <c r="I585" i="19"/>
  <c r="I695" i="19"/>
  <c r="I169" i="19"/>
  <c r="H680" i="19"/>
  <c r="H646" i="19"/>
  <c r="H693" i="19"/>
  <c r="H448" i="19"/>
  <c r="I857" i="19"/>
  <c r="I23" i="19"/>
  <c r="H718" i="19"/>
  <c r="H334" i="19"/>
  <c r="I318" i="19"/>
  <c r="I183" i="19"/>
  <c r="I751" i="19"/>
  <c r="H907" i="19"/>
  <c r="H163" i="19"/>
  <c r="I345" i="19"/>
  <c r="H654" i="19"/>
  <c r="I193" i="19"/>
  <c r="I618" i="19"/>
  <c r="I770" i="19"/>
  <c r="I670" i="19"/>
  <c r="I888" i="19"/>
  <c r="I516" i="19"/>
  <c r="I158" i="19"/>
  <c r="H192" i="19"/>
  <c r="I343" i="19"/>
  <c r="I334" i="19"/>
  <c r="I406" i="19"/>
  <c r="H853" i="19"/>
  <c r="I832" i="19"/>
  <c r="H616" i="19"/>
  <c r="I681" i="19"/>
  <c r="I329" i="19"/>
  <c r="I801" i="19"/>
  <c r="H396" i="19"/>
  <c r="I546" i="19"/>
  <c r="I330" i="19"/>
  <c r="I917" i="19"/>
  <c r="H896" i="19"/>
  <c r="H159" i="19"/>
  <c r="H212" i="19"/>
  <c r="I231" i="19"/>
  <c r="H684" i="19"/>
  <c r="H155" i="19"/>
  <c r="I22" i="19"/>
  <c r="I593" i="19"/>
  <c r="I311" i="19"/>
  <c r="I196" i="19"/>
  <c r="I28" i="19"/>
  <c r="H795" i="19"/>
  <c r="H476" i="19"/>
  <c r="I97" i="19"/>
  <c r="H592" i="19"/>
  <c r="H712" i="19"/>
  <c r="H456" i="19"/>
  <c r="H164" i="19"/>
  <c r="I134" i="19"/>
  <c r="H537" i="19"/>
  <c r="H624" i="19"/>
  <c r="H240" i="19"/>
  <c r="H527" i="19"/>
  <c r="I742" i="19"/>
  <c r="I138" i="19"/>
  <c r="I810" i="19"/>
  <c r="H118" i="19"/>
  <c r="H459" i="19"/>
  <c r="H100" i="19"/>
  <c r="I759" i="19"/>
  <c r="I37" i="19"/>
  <c r="I225" i="19"/>
  <c r="H29" i="19"/>
  <c r="H422" i="19"/>
  <c r="I754" i="19"/>
  <c r="I10" i="19"/>
  <c r="I246" i="19"/>
  <c r="H379" i="19"/>
  <c r="H631" i="19"/>
  <c r="I178" i="19"/>
  <c r="I519" i="19"/>
  <c r="I75" i="19"/>
  <c r="H412" i="19"/>
  <c r="I378" i="19"/>
  <c r="I763" i="19"/>
  <c r="I400" i="19"/>
  <c r="I368" i="19"/>
  <c r="I317" i="19"/>
  <c r="I654" i="19"/>
  <c r="H462" i="19"/>
  <c r="I717" i="19"/>
  <c r="H688" i="19"/>
  <c r="I207" i="19"/>
  <c r="I718" i="19"/>
  <c r="H306" i="19"/>
  <c r="H566" i="19"/>
  <c r="I622" i="19"/>
  <c r="I610" i="19"/>
  <c r="H904" i="19"/>
  <c r="I839" i="19"/>
  <c r="H724" i="19"/>
  <c r="I827" i="19"/>
  <c r="H521" i="19"/>
  <c r="I579" i="19"/>
  <c r="I381" i="19"/>
  <c r="I707" i="19"/>
  <c r="I791" i="19"/>
  <c r="I404" i="19"/>
  <c r="I25" i="19"/>
  <c r="I315" i="19"/>
  <c r="H139" i="19"/>
  <c r="I613" i="19"/>
  <c r="I855" i="19"/>
  <c r="H542" i="19"/>
  <c r="H328" i="19"/>
  <c r="I118" i="19"/>
  <c r="H750" i="19"/>
  <c r="I879" i="19"/>
  <c r="H173" i="19"/>
  <c r="H629" i="19"/>
  <c r="I280" i="19"/>
  <c r="H167" i="19"/>
  <c r="H202" i="19"/>
  <c r="I582" i="19"/>
  <c r="H214" i="19"/>
  <c r="H385" i="19"/>
  <c r="H409" i="19"/>
  <c r="I518" i="19"/>
  <c r="H221" i="19"/>
  <c r="I321" i="19"/>
  <c r="I840" i="19"/>
  <c r="I65" i="19"/>
  <c r="H556" i="19"/>
  <c r="I560" i="19"/>
  <c r="H314" i="19"/>
  <c r="I215" i="19"/>
  <c r="H296" i="19"/>
  <c r="I631" i="19"/>
  <c r="H590" i="19"/>
  <c r="H313" i="19"/>
  <c r="H423" i="19"/>
  <c r="I663" i="19"/>
  <c r="I907" i="19"/>
  <c r="I371" i="19"/>
  <c r="I219" i="19"/>
  <c r="H508" i="19"/>
  <c r="I614" i="19"/>
  <c r="I494" i="19"/>
  <c r="H656" i="19"/>
  <c r="I386" i="19"/>
  <c r="H707" i="19"/>
  <c r="I783" i="19"/>
  <c r="H618" i="19"/>
  <c r="H397" i="19"/>
  <c r="I630" i="19"/>
  <c r="H674" i="19"/>
  <c r="H366" i="19"/>
  <c r="I869" i="19"/>
  <c r="I890" i="19"/>
  <c r="I498" i="19"/>
  <c r="H787" i="19"/>
  <c r="H652" i="19"/>
  <c r="I648" i="19"/>
  <c r="I348" i="19"/>
  <c r="H208" i="19"/>
  <c r="I136" i="19"/>
  <c r="H807" i="19"/>
  <c r="I110" i="19"/>
  <c r="H812" i="19"/>
  <c r="H447" i="19"/>
  <c r="H158" i="19"/>
  <c r="I233" i="19"/>
  <c r="H925" i="19"/>
  <c r="I900" i="19"/>
  <c r="H27" i="19"/>
  <c r="H498" i="19"/>
  <c r="H344" i="19"/>
  <c r="I124" i="19"/>
  <c r="H186" i="19"/>
  <c r="H758" i="19"/>
  <c r="H821" i="19"/>
  <c r="I836" i="19"/>
  <c r="H84" i="19"/>
  <c r="H919" i="19"/>
  <c r="I659" i="19"/>
  <c r="H242" i="19"/>
  <c r="H216" i="19"/>
  <c r="H225" i="19"/>
  <c r="I145" i="19"/>
  <c r="I309" i="19"/>
  <c r="H88" i="19"/>
  <c r="I521" i="19"/>
  <c r="H916" i="19"/>
  <c r="H181" i="19"/>
  <c r="H199" i="19"/>
  <c r="I351" i="19"/>
  <c r="I209" i="19"/>
  <c r="I860" i="19"/>
  <c r="I896" i="19"/>
  <c r="I248" i="19"/>
  <c r="H83" i="19"/>
  <c r="I629" i="19"/>
  <c r="H872" i="19"/>
  <c r="I171" i="19"/>
  <c r="I627" i="19"/>
  <c r="I496" i="19"/>
  <c r="I222" i="19"/>
  <c r="I88" i="19"/>
  <c r="H637" i="19"/>
  <c r="H710" i="19"/>
  <c r="H779" i="19"/>
  <c r="I316" i="19"/>
  <c r="H98" i="19"/>
  <c r="I82" i="19"/>
  <c r="H660" i="19"/>
  <c r="I634" i="19"/>
  <c r="H274" i="19"/>
  <c r="I671" i="19"/>
  <c r="H19" i="19"/>
  <c r="I379" i="19"/>
  <c r="H28" i="19"/>
  <c r="H621" i="19"/>
  <c r="H293" i="19"/>
  <c r="H474" i="19"/>
  <c r="I205" i="19"/>
  <c r="I787" i="19"/>
  <c r="H42" i="19"/>
  <c r="I425" i="19"/>
  <c r="H642" i="19"/>
  <c r="I310" i="19"/>
  <c r="I792" i="19"/>
  <c r="I700" i="19"/>
  <c r="I528" i="19"/>
  <c r="H51" i="19"/>
  <c r="H89" i="19"/>
  <c r="I217" i="19"/>
  <c r="I359" i="19"/>
  <c r="I407" i="19"/>
  <c r="I43" i="19"/>
  <c r="I870" i="19"/>
  <c r="H627" i="19"/>
  <c r="I620" i="19"/>
  <c r="I161" i="19"/>
  <c r="I271" i="19"/>
  <c r="H389" i="19"/>
  <c r="I11" i="19"/>
  <c r="I16" i="19"/>
  <c r="H899" i="19"/>
  <c r="I361" i="19"/>
  <c r="H727" i="19"/>
  <c r="H320" i="19"/>
  <c r="I828" i="19"/>
  <c r="H268" i="19"/>
  <c r="H536" i="19"/>
  <c r="I51" i="19"/>
  <c r="H236" i="19"/>
  <c r="H180" i="19"/>
  <c r="H534" i="19"/>
  <c r="H906" i="19"/>
  <c r="I339" i="19"/>
  <c r="H461" i="19"/>
  <c r="H205" i="19"/>
  <c r="H35" i="19"/>
  <c r="H129" i="19"/>
  <c r="I164" i="19"/>
  <c r="I687" i="19"/>
  <c r="H682" i="19"/>
  <c r="I420" i="19"/>
  <c r="H196" i="19"/>
  <c r="H568" i="19"/>
  <c r="I416" i="19"/>
  <c r="H865" i="19"/>
  <c r="H915" i="19"/>
  <c r="I142" i="19"/>
  <c r="I476" i="19"/>
  <c r="H500" i="19"/>
  <c r="I760" i="19"/>
  <c r="I865" i="19"/>
  <c r="I112" i="19"/>
  <c r="H179" i="19"/>
  <c r="H816" i="19"/>
  <c r="I241" i="19"/>
  <c r="H443" i="19"/>
  <c r="H628" i="19"/>
  <c r="H614" i="19"/>
  <c r="H617" i="19"/>
  <c r="H676" i="19"/>
  <c r="H378" i="19"/>
  <c r="H452" i="19"/>
  <c r="I871" i="19"/>
  <c r="I372" i="19"/>
  <c r="I665" i="19"/>
  <c r="I165" i="19"/>
  <c r="H304" i="19"/>
  <c r="H692" i="19"/>
  <c r="I347" i="19"/>
  <c r="I290" i="19"/>
  <c r="H894" i="19"/>
  <c r="I785" i="19"/>
  <c r="I213" i="19"/>
  <c r="H709" i="19"/>
  <c r="I24" i="19"/>
  <c r="I509" i="19"/>
  <c r="H130" i="19"/>
  <c r="H80" i="19"/>
  <c r="I878" i="19"/>
  <c r="I187" i="19"/>
  <c r="H110" i="19"/>
  <c r="H603" i="19"/>
  <c r="I157" i="19"/>
  <c r="H369" i="19"/>
  <c r="H604" i="19"/>
  <c r="I550" i="19"/>
  <c r="I192" i="19"/>
  <c r="I472" i="19"/>
  <c r="H279" i="19"/>
  <c r="H69" i="19"/>
  <c r="I337" i="19"/>
  <c r="I458" i="19"/>
  <c r="I285" i="19"/>
  <c r="H560" i="19"/>
  <c r="H2" i="19"/>
  <c r="H665" i="19"/>
  <c r="I278" i="19"/>
  <c r="H920" i="19"/>
  <c r="I774" i="19"/>
  <c r="H494" i="19"/>
  <c r="H60" i="19"/>
  <c r="I737" i="19"/>
  <c r="H154" i="19"/>
  <c r="I70" i="19"/>
  <c r="I706" i="19"/>
  <c r="H91" i="19"/>
  <c r="I305" i="19"/>
  <c r="I255" i="19"/>
  <c r="I430" i="19"/>
  <c r="H145" i="19"/>
  <c r="I98" i="19"/>
  <c r="I93" i="19"/>
  <c r="H63" i="19"/>
  <c r="H112" i="19"/>
  <c r="H793" i="19"/>
  <c r="H393" i="19"/>
  <c r="H810" i="19"/>
  <c r="I240" i="19"/>
  <c r="I61" i="19"/>
  <c r="H823" i="19"/>
  <c r="H897" i="19"/>
  <c r="I180" i="19"/>
  <c r="I289" i="19"/>
  <c r="I641" i="19"/>
  <c r="I299" i="19"/>
  <c r="H152" i="19"/>
  <c r="H581" i="19"/>
  <c r="I515" i="19"/>
  <c r="H444" i="19"/>
  <c r="H841" i="19"/>
  <c r="I397" i="19"/>
  <c r="I804" i="19"/>
  <c r="I852" i="19"/>
  <c r="I833" i="19"/>
  <c r="H451" i="19"/>
  <c r="I856" i="19"/>
  <c r="I594" i="19"/>
  <c r="I186" i="19"/>
  <c r="I96" i="19"/>
  <c r="I755" i="19"/>
  <c r="I583" i="19"/>
  <c r="H529" i="19"/>
  <c r="I790" i="19"/>
  <c r="I666" i="19"/>
  <c r="I502" i="19"/>
  <c r="H518" i="19"/>
  <c r="H253" i="19"/>
  <c r="H575" i="19"/>
  <c r="H168" i="19"/>
  <c r="I517" i="19"/>
  <c r="H59" i="19"/>
  <c r="H259" i="19"/>
  <c r="I592" i="19"/>
  <c r="H308" i="19"/>
  <c r="I148" i="19"/>
  <c r="H729" i="19"/>
  <c r="H146" i="19"/>
  <c r="I356" i="19"/>
  <c r="I525" i="19"/>
  <c r="I284" i="19"/>
  <c r="H415" i="19"/>
  <c r="H570" i="19"/>
  <c r="I422" i="19"/>
  <c r="H814" i="19"/>
  <c r="I574" i="19"/>
  <c r="H404" i="19"/>
  <c r="H401" i="19"/>
  <c r="I607" i="19"/>
  <c r="I691" i="19"/>
  <c r="I414" i="19"/>
  <c r="I160" i="19"/>
  <c r="H86" i="19"/>
  <c r="H881" i="19"/>
  <c r="I358" i="19"/>
  <c r="H301" i="19"/>
  <c r="H645" i="19"/>
  <c r="I87" i="19"/>
  <c r="H572" i="19"/>
  <c r="H34" i="19"/>
  <c r="H73" i="19"/>
  <c r="H773" i="19"/>
  <c r="I652" i="19"/>
  <c r="H62" i="19"/>
  <c r="H612" i="19"/>
  <c r="I390" i="19"/>
  <c r="H809" i="19"/>
  <c r="I777" i="19"/>
  <c r="I535" i="19"/>
  <c r="H67" i="19"/>
  <c r="H780" i="19"/>
  <c r="I809" i="19"/>
  <c r="H408" i="19"/>
  <c r="H398" i="19"/>
  <c r="H748" i="19"/>
  <c r="I484" i="19"/>
  <c r="H751" i="19"/>
  <c r="H833" i="19"/>
  <c r="H785" i="19"/>
  <c r="I823" i="19"/>
  <c r="H318" i="19"/>
  <c r="H21" i="19"/>
  <c r="I60" i="19"/>
  <c r="I5" i="19"/>
  <c r="H764" i="19"/>
  <c r="I813" i="19"/>
  <c r="H230" i="19"/>
  <c r="H436" i="19"/>
  <c r="I753" i="19"/>
  <c r="I544" i="19"/>
  <c r="I131" i="19"/>
  <c r="I266" i="19"/>
  <c r="H768" i="19"/>
  <c r="H295" i="19"/>
  <c r="I133" i="19"/>
  <c r="I771" i="19"/>
  <c r="I256" i="19"/>
  <c r="H72" i="19"/>
  <c r="I115" i="19"/>
  <c r="H689" i="19"/>
  <c r="I766" i="19"/>
  <c r="I918" i="19"/>
  <c r="I639" i="19"/>
  <c r="I159" i="19"/>
  <c r="H271" i="19"/>
  <c r="H288" i="19"/>
  <c r="I538" i="19"/>
  <c r="H714" i="19"/>
  <c r="H818" i="19"/>
  <c r="I508" i="19"/>
  <c r="H662" i="19"/>
  <c r="I147" i="19"/>
  <c r="H107" i="19"/>
  <c r="I140" i="19"/>
  <c r="I795" i="19"/>
  <c r="I831" i="19"/>
  <c r="I463" i="19"/>
  <c r="H324" i="19"/>
  <c r="I150" i="19"/>
  <c r="H283" i="19"/>
  <c r="I724" i="19"/>
  <c r="I211" i="19"/>
  <c r="I849" i="19"/>
  <c r="I720" i="19"/>
  <c r="I834" i="19"/>
  <c r="I268" i="19"/>
  <c r="I117" i="19"/>
  <c r="H50" i="19"/>
  <c r="I9" i="19"/>
  <c r="I591" i="19"/>
  <c r="I495" i="19"/>
  <c r="I749" i="19"/>
  <c r="I409" i="19"/>
  <c r="I703" i="19"/>
  <c r="H606" i="19"/>
  <c r="H669" i="19"/>
  <c r="H66" i="19"/>
  <c r="H119" i="19"/>
  <c r="I482" i="19"/>
  <c r="H663" i="19"/>
  <c r="I775" i="19"/>
  <c r="H695" i="19"/>
  <c r="H869" i="19"/>
  <c r="I729" i="19"/>
  <c r="H739" i="19"/>
  <c r="I626" i="19"/>
  <c r="I723" i="19"/>
  <c r="H691" i="19"/>
  <c r="H20" i="19"/>
  <c r="I829" i="19"/>
  <c r="I624" i="19"/>
  <c r="H481" i="19"/>
  <c r="H329" i="19"/>
  <c r="H819" i="19"/>
  <c r="H499" i="19"/>
  <c r="H914" i="19"/>
  <c r="H783" i="19"/>
  <c r="I638" i="19"/>
  <c r="I562" i="19"/>
  <c r="I530" i="19"/>
  <c r="H820" i="19"/>
  <c r="I470" i="19"/>
  <c r="I826" i="19"/>
  <c r="H342" i="19"/>
  <c r="I382" i="19"/>
  <c r="I674" i="19"/>
  <c r="I40" i="19"/>
  <c r="I389" i="19"/>
  <c r="H44" i="19"/>
  <c r="I249" i="19"/>
  <c r="I731" i="19"/>
  <c r="I474" i="19"/>
  <c r="H487" i="19"/>
  <c r="H375" i="19"/>
  <c r="H117" i="19"/>
  <c r="H670" i="19"/>
  <c r="I232" i="19"/>
  <c r="H387" i="19"/>
  <c r="I915" i="19"/>
  <c r="I725" i="19"/>
  <c r="H68" i="19"/>
  <c r="I336" i="19"/>
  <c r="I234" i="19"/>
  <c r="I684" i="19"/>
  <c r="I298" i="19"/>
  <c r="I721" i="19"/>
  <c r="H671" i="19"/>
  <c r="H697" i="19"/>
  <c r="I413" i="19"/>
  <c r="H82" i="19"/>
  <c r="H357" i="19"/>
  <c r="I462" i="19"/>
  <c r="H153" i="19"/>
  <c r="H64" i="19"/>
  <c r="H213" i="19"/>
  <c r="H569" i="19"/>
  <c r="H615" i="19"/>
  <c r="H871" i="19"/>
  <c r="I402" i="19"/>
  <c r="I388" i="19"/>
  <c r="I36" i="19"/>
  <c r="I728" i="19"/>
  <c r="I667" i="19"/>
  <c r="H839" i="19"/>
  <c r="H774" i="19"/>
  <c r="H492" i="19"/>
  <c r="H220" i="19"/>
  <c r="H836" i="19"/>
  <c r="H12" i="19"/>
  <c r="I536" i="19"/>
  <c r="I139" i="19"/>
  <c r="H859" i="19"/>
  <c r="I764" i="19"/>
  <c r="H878" i="19"/>
  <c r="I779" i="19"/>
  <c r="H769" i="19"/>
  <c r="I894" i="19"/>
  <c r="I480" i="19"/>
  <c r="H123" i="19"/>
  <c r="I868" i="19"/>
  <c r="I679" i="19"/>
  <c r="H824" i="19"/>
  <c r="I537" i="19"/>
  <c r="I575" i="19"/>
  <c r="I645" i="19"/>
  <c r="H250" i="19"/>
  <c r="I584" i="19"/>
  <c r="I602" i="19"/>
  <c r="H75" i="19"/>
  <c r="H182" i="19"/>
  <c r="H685" i="19"/>
  <c r="H651" i="19"/>
  <c r="H241" i="19"/>
  <c r="H322" i="19"/>
  <c r="I875" i="19"/>
  <c r="I328" i="19"/>
  <c r="H348" i="19"/>
  <c r="H845" i="19"/>
  <c r="I798" i="19"/>
  <c r="I556" i="19"/>
  <c r="I354" i="19"/>
  <c r="I633" i="19"/>
  <c r="I31" i="19"/>
  <c r="H40" i="19"/>
  <c r="I696" i="19"/>
  <c r="H391" i="19"/>
  <c r="H913" i="19"/>
  <c r="H880" i="19"/>
  <c r="H128" i="19"/>
  <c r="I481" i="19"/>
  <c r="H368" i="19"/>
  <c r="I762" i="19"/>
  <c r="I78" i="19"/>
  <c r="I189" i="19"/>
  <c r="H828" i="19"/>
  <c r="H705" i="19"/>
  <c r="H354" i="19"/>
  <c r="H151" i="19"/>
  <c r="H41" i="19"/>
  <c r="H325" i="19"/>
  <c r="H464" i="19"/>
  <c r="I526" i="19"/>
  <c r="I303" i="19"/>
  <c r="H770" i="19"/>
  <c r="H341" i="19"/>
  <c r="H210" i="19"/>
  <c r="H286" i="19"/>
  <c r="I822" i="19"/>
  <c r="H224" i="19"/>
  <c r="H300" i="19"/>
  <c r="H172" i="19"/>
  <c r="H513" i="19"/>
  <c r="I468" i="19"/>
  <c r="H231" i="19"/>
  <c r="H903" i="19"/>
  <c r="H257" i="19"/>
  <c r="H694" i="19"/>
  <c r="H148" i="19"/>
  <c r="I845" i="19"/>
  <c r="I48" i="19"/>
  <c r="H730" i="19"/>
  <c r="I377" i="19"/>
  <c r="H870" i="19"/>
  <c r="I465" i="19"/>
  <c r="H595" i="19"/>
  <c r="I179" i="19"/>
  <c r="I697" i="19"/>
  <c r="H309" i="19"/>
  <c r="H85" i="19"/>
  <c r="I848" i="19"/>
  <c r="H746" i="19"/>
  <c r="H445" i="19"/>
  <c r="I199" i="19"/>
  <c r="H854" i="19"/>
  <c r="I705" i="19"/>
  <c r="I194" i="19"/>
  <c r="I292" i="19"/>
  <c r="I916" i="19"/>
  <c r="I487" i="19"/>
  <c r="I74" i="19"/>
  <c r="I59" i="19"/>
  <c r="I393" i="19"/>
  <c r="H45" i="19"/>
  <c r="H5" i="19"/>
  <c r="H114" i="19"/>
  <c r="H277" i="19"/>
  <c r="I608" i="19"/>
  <c r="I322" i="19"/>
  <c r="H370" i="19"/>
  <c r="H806" i="19"/>
  <c r="I586" i="19"/>
  <c r="I887" i="19"/>
  <c r="I506" i="19"/>
  <c r="I287" i="19"/>
  <c r="I440" i="19"/>
  <c r="H317" i="19"/>
  <c r="H843" i="19"/>
  <c r="I543" i="19"/>
  <c r="H335" i="19"/>
  <c r="H131" i="19"/>
  <c r="I107" i="19"/>
  <c r="I709" i="19"/>
  <c r="I897" i="19"/>
  <c r="H597" i="19"/>
  <c r="H254" i="19"/>
  <c r="I710" i="19"/>
  <c r="H493" i="19"/>
  <c r="I877" i="19"/>
  <c r="I913" i="19"/>
  <c r="H251" i="19"/>
  <c r="I342" i="19"/>
  <c r="H762" i="19"/>
  <c r="H882" i="19"/>
  <c r="H559" i="19"/>
  <c r="H6" i="19"/>
  <c r="H417" i="19"/>
  <c r="H721" i="19"/>
  <c r="H466" i="19"/>
  <c r="H126" i="19"/>
  <c r="H578" i="19"/>
  <c r="H822" i="19"/>
  <c r="H857" i="19"/>
  <c r="I319" i="19"/>
  <c r="H109" i="19"/>
  <c r="I542" i="19"/>
  <c r="I590" i="19"/>
  <c r="I392" i="19"/>
  <c r="I505" i="19"/>
  <c r="I559" i="19"/>
  <c r="H753" i="19"/>
  <c r="H755" i="19"/>
  <c r="I3" i="19"/>
  <c r="H901" i="19"/>
  <c r="I578" i="19"/>
  <c r="I366" i="19"/>
  <c r="H454" i="19"/>
  <c r="H165" i="19"/>
  <c r="H435" i="19"/>
  <c r="H706" i="19"/>
  <c r="H601" i="19"/>
  <c r="I553" i="19"/>
  <c r="H585" i="19"/>
  <c r="I688" i="19"/>
  <c r="H292" i="19"/>
  <c r="H433" i="19"/>
  <c r="I637" i="19"/>
  <c r="H137" i="19"/>
  <c r="H786" i="19"/>
  <c r="I569" i="19"/>
  <c r="I866" i="19"/>
  <c r="H905" i="19"/>
  <c r="H598" i="19"/>
  <c r="I49" i="19"/>
  <c r="I206" i="19"/>
  <c r="H353" i="19"/>
  <c r="H549" i="19"/>
  <c r="I745" i="19"/>
  <c r="I174" i="19"/>
  <c r="I600" i="19"/>
  <c r="I216" i="19"/>
  <c r="I283" i="19"/>
  <c r="I277" i="19"/>
  <c r="H26" i="19"/>
  <c r="H643" i="19"/>
  <c r="I113" i="19"/>
  <c r="H430" i="19"/>
  <c r="H678" i="19"/>
  <c r="I128" i="19"/>
  <c r="H842" i="19"/>
  <c r="H245" i="19"/>
  <c r="H850" i="19"/>
  <c r="I816" i="19"/>
  <c r="H255" i="19"/>
  <c r="H895" i="19"/>
  <c r="I433" i="19"/>
  <c r="I170" i="19"/>
  <c r="I454" i="19"/>
  <c r="I101" i="19"/>
  <c r="H176" i="19"/>
  <c r="I612" i="19"/>
  <c r="H185" i="19"/>
  <c r="H142" i="19"/>
  <c r="H593" i="19"/>
  <c r="H788" i="19"/>
  <c r="I568" i="19"/>
  <c r="H291" i="19"/>
  <c r="I295" i="19"/>
  <c r="H228" i="19"/>
  <c r="H798" i="19"/>
  <c r="H356" i="19"/>
  <c r="H763" i="19"/>
  <c r="I296" i="19"/>
  <c r="H222" i="19"/>
  <c r="I39" i="19"/>
  <c r="H547" i="19"/>
  <c r="I552" i="19"/>
  <c r="H473" i="19"/>
  <c r="H602" i="19"/>
  <c r="H514" i="19"/>
  <c r="I19" i="19"/>
  <c r="H191" i="19"/>
  <c r="H837" i="19"/>
  <c r="H469" i="19"/>
  <c r="I79" i="19"/>
  <c r="I383" i="19"/>
  <c r="H244" i="19"/>
  <c r="H817" i="19"/>
  <c r="I864" i="19"/>
  <c r="H782" i="19"/>
  <c r="I108" i="19"/>
  <c r="I460" i="19"/>
  <c r="I176" i="19"/>
  <c r="I424" i="19"/>
  <c r="I924" i="19"/>
  <c r="H636" i="19"/>
  <c r="H551" i="19"/>
  <c r="I773" i="19"/>
  <c r="H457" i="19"/>
  <c r="H655" i="19"/>
  <c r="H108" i="19"/>
  <c r="I162" i="19"/>
  <c r="H386" i="19"/>
  <c r="H195" i="19"/>
  <c r="H105" i="19"/>
  <c r="I632" i="19"/>
  <c r="H243" i="19"/>
  <c r="H347" i="19"/>
  <c r="H862" i="19"/>
  <c r="I385" i="19"/>
  <c r="H759" i="19"/>
  <c r="I873" i="19"/>
  <c r="I796" i="19"/>
  <c r="I29" i="19"/>
  <c r="H887" i="19"/>
  <c r="I81" i="19"/>
  <c r="H90" i="19"/>
  <c r="I838" i="19"/>
  <c r="I6" i="19"/>
  <c r="I617" i="19"/>
  <c r="I396" i="19"/>
  <c r="H486" i="19"/>
  <c r="H829" i="19"/>
  <c r="I527" i="19"/>
  <c r="I647" i="19"/>
  <c r="H772" i="19"/>
  <c r="H188" i="19"/>
  <c r="I308" i="19"/>
  <c r="I782" i="19"/>
  <c r="H747" i="19"/>
  <c r="H467" i="19"/>
  <c r="H835" i="19"/>
  <c r="H160" i="19"/>
  <c r="I842" i="19"/>
  <c r="I841" i="19"/>
  <c r="I239" i="19"/>
  <c r="H608" i="19"/>
  <c r="H234" i="19"/>
  <c r="H418" i="19"/>
  <c r="H53" i="19"/>
  <c r="H395" i="19"/>
  <c r="H625" i="19"/>
  <c r="H9" i="19"/>
  <c r="H668" i="19"/>
  <c r="H18" i="19"/>
  <c r="I95" i="19"/>
  <c r="I364" i="19"/>
  <c r="I294" i="19"/>
  <c r="I881" i="19"/>
  <c r="H25" i="19"/>
  <c r="I229" i="19"/>
  <c r="I491" i="19"/>
  <c r="I421" i="19"/>
  <c r="I727" i="19"/>
  <c r="H700" i="19"/>
  <c r="I144" i="19"/>
  <c r="H420" i="19"/>
  <c r="I853" i="19"/>
  <c r="H120" i="19"/>
  <c r="H571" i="19"/>
  <c r="I47" i="19"/>
  <c r="H361" i="19"/>
  <c r="H815" i="19"/>
  <c r="H557" i="19"/>
  <c r="H516" i="19"/>
  <c r="I646" i="19"/>
  <c r="I874" i="19"/>
  <c r="I513" i="19"/>
  <c r="H922" i="19"/>
  <c r="I261" i="19"/>
  <c r="H775" i="19"/>
  <c r="H92" i="19"/>
  <c r="I286" i="19"/>
  <c r="H696" i="19"/>
  <c r="I734" i="19"/>
  <c r="H683" i="19"/>
  <c r="H918" i="19"/>
  <c r="I758" i="19"/>
  <c r="H802" i="19"/>
  <c r="I548" i="19"/>
  <c r="I264" i="19"/>
  <c r="H577" i="19"/>
  <c r="H298" i="19"/>
  <c r="H520" i="19"/>
  <c r="I203" i="19"/>
  <c r="H877" i="19"/>
  <c r="H740" i="19"/>
  <c r="H95" i="19"/>
  <c r="H380" i="19"/>
  <c r="H258" i="19"/>
  <c r="H189" i="19"/>
  <c r="I746" i="19"/>
  <c r="I270" i="19"/>
  <c r="H265" i="19"/>
  <c r="I461" i="19"/>
  <c r="I540" i="19"/>
  <c r="I281" i="19"/>
  <c r="I904" i="19"/>
  <c r="H302" i="19"/>
  <c r="I444" i="19"/>
  <c r="I109" i="19"/>
  <c r="H266" i="19"/>
  <c r="H78" i="19"/>
  <c r="H495" i="19"/>
  <c r="I344" i="19"/>
  <c r="H321" i="19"/>
  <c r="I589" i="19"/>
  <c r="H256" i="19"/>
  <c r="H885" i="19"/>
  <c r="I650" i="19"/>
  <c r="H728" i="19"/>
  <c r="I173" i="19"/>
  <c r="I149" i="19"/>
  <c r="I8" i="19"/>
  <c r="I534" i="19"/>
  <c r="H30" i="19"/>
  <c r="I477" i="19"/>
  <c r="H496" i="19"/>
  <c r="H704" i="19"/>
  <c r="H307" i="19"/>
  <c r="I673" i="19"/>
  <c r="I533" i="19"/>
  <c r="I803" i="19"/>
  <c r="H38" i="19"/>
  <c r="H879" i="19"/>
  <c r="H784" i="19"/>
  <c r="I235" i="19"/>
  <c r="H743" i="19"/>
  <c r="I752" i="19"/>
  <c r="H761" i="19"/>
  <c r="I102" i="19"/>
  <c r="H346" i="19"/>
  <c r="I686" i="19"/>
  <c r="H874" i="19"/>
  <c r="I190" i="19"/>
  <c r="I577" i="19"/>
  <c r="I257" i="19"/>
  <c r="H826" i="19"/>
  <c r="I44" i="19"/>
  <c r="H229" i="19"/>
  <c r="H460" i="19"/>
  <c r="I42" i="19"/>
  <c r="I352" i="19"/>
  <c r="I588" i="19"/>
  <c r="I483" i="19"/>
  <c r="I227" i="19"/>
  <c r="H207" i="19"/>
  <c r="H909" i="19"/>
  <c r="I228" i="19"/>
  <c r="H715" i="19"/>
  <c r="I262" i="19"/>
  <c r="H519" i="19"/>
  <c r="I86" i="19"/>
  <c r="I643" i="19"/>
  <c r="H206" i="19"/>
  <c r="H600" i="19"/>
  <c r="I253" i="19"/>
  <c r="H294" i="19"/>
  <c r="H74" i="19"/>
  <c r="I554" i="19"/>
  <c r="I417" i="19"/>
  <c r="H76" i="19"/>
  <c r="H891" i="19"/>
  <c r="H312" i="19"/>
  <c r="H599" i="19"/>
  <c r="H731" i="19"/>
  <c r="I880" i="19"/>
  <c r="H756" i="19"/>
  <c r="I493" i="19"/>
  <c r="I126" i="19"/>
  <c r="H535" i="19"/>
  <c r="H539" i="19"/>
  <c r="H339" i="19"/>
  <c r="I313" i="19"/>
  <c r="I423" i="19"/>
  <c r="H267" i="19"/>
  <c r="I837" i="19"/>
  <c r="H855" i="19"/>
  <c r="I373" i="19"/>
  <c r="I850" i="19"/>
  <c r="H511" i="19"/>
  <c r="H926" i="19"/>
  <c r="I154" i="19"/>
  <c r="I450" i="19"/>
  <c r="I2" i="19"/>
  <c r="H734" i="19"/>
  <c r="I443" i="19"/>
  <c r="I267" i="19"/>
  <c r="H170" i="19"/>
  <c r="I767" i="19"/>
  <c r="I438" i="19"/>
  <c r="H562" i="19"/>
  <c r="H658" i="19"/>
  <c r="I459" i="19"/>
  <c r="I889" i="19"/>
  <c r="H898" i="19"/>
  <c r="H717" i="19"/>
  <c r="H856" i="19"/>
  <c r="I561" i="19"/>
  <c r="I748" i="19"/>
  <c r="H532" i="19"/>
  <c r="I520" i="19"/>
  <c r="H140" i="19"/>
  <c r="H374" i="19"/>
  <c r="I910" i="19"/>
  <c r="H376" i="19"/>
  <c r="H488" i="19"/>
  <c r="I394" i="19"/>
  <c r="H263" i="19"/>
  <c r="I789" i="19"/>
  <c r="H61" i="19"/>
  <c r="I374" i="19"/>
  <c r="I677" i="19"/>
  <c r="H93" i="19"/>
  <c r="H217" i="19"/>
  <c r="I714" i="19"/>
  <c r="I172" i="19"/>
  <c r="I175" i="19"/>
  <c r="I757" i="19"/>
  <c r="H111" i="19"/>
  <c r="H355" i="19"/>
  <c r="I549" i="19"/>
  <c r="H14" i="19"/>
  <c r="I441" i="19"/>
  <c r="H754" i="19"/>
  <c r="H204" i="19"/>
  <c r="I716" i="19"/>
  <c r="I69" i="19"/>
  <c r="I920" i="19"/>
  <c r="I923" i="19"/>
  <c r="H594" i="19"/>
  <c r="H923" i="19"/>
  <c r="I353" i="19"/>
  <c r="I94" i="19"/>
  <c r="I55" i="19"/>
  <c r="H796" i="19"/>
  <c r="I30" i="19"/>
  <c r="H861" i="19"/>
  <c r="I300" i="19"/>
  <c r="H280" i="19"/>
  <c r="H116" i="19"/>
  <c r="I657" i="19"/>
  <c r="H838" i="19"/>
  <c r="H363" i="19"/>
  <c r="H846" i="19"/>
  <c r="I489" i="19"/>
  <c r="H765" i="19"/>
  <c r="I615" i="19"/>
  <c r="I238" i="19"/>
  <c r="H39" i="19"/>
  <c r="I786" i="19"/>
  <c r="H209" i="19"/>
  <c r="H805" i="19"/>
  <c r="I702" i="19"/>
  <c r="I701" i="19"/>
  <c r="I237" i="19"/>
  <c r="I807" i="19"/>
  <c r="H359" i="19"/>
  <c r="I376" i="19"/>
  <c r="I168" i="19"/>
  <c r="H157" i="19"/>
  <c r="I26" i="19"/>
  <c r="I71" i="19"/>
  <c r="I532" i="19"/>
  <c r="H664" i="19"/>
  <c r="H911" i="19"/>
  <c r="I817" i="19"/>
  <c r="H384" i="19"/>
  <c r="I151" i="19"/>
  <c r="I34" i="19"/>
  <c r="I859" i="19"/>
  <c r="I54" i="19"/>
  <c r="H175" i="19"/>
  <c r="H97" i="19"/>
  <c r="H337" i="19"/>
  <c r="H725" i="19"/>
  <c r="I250" i="19"/>
  <c r="I824" i="19"/>
  <c r="I21" i="19"/>
  <c r="I625" i="19"/>
  <c r="I886" i="19"/>
  <c r="I914" i="19"/>
  <c r="I135" i="19"/>
  <c r="H868" i="19"/>
  <c r="I551" i="19"/>
  <c r="H450" i="19"/>
  <c r="I846" i="19"/>
  <c r="H701" i="19"/>
  <c r="H607" i="19"/>
  <c r="H844" i="19"/>
  <c r="I67" i="19"/>
  <c r="H564" i="19"/>
  <c r="I922" i="19"/>
  <c r="H866" i="19"/>
  <c r="I653" i="19"/>
  <c r="I57" i="19"/>
  <c r="I185" i="19"/>
  <c r="I68" i="19"/>
  <c r="H327" i="19"/>
  <c r="I446" i="19"/>
  <c r="I640" i="19"/>
  <c r="I442" i="19"/>
  <c r="I367" i="19"/>
  <c r="I380" i="19"/>
  <c r="I200" i="19"/>
  <c r="H190" i="19"/>
  <c r="H659" i="19"/>
  <c r="I182" i="19"/>
  <c r="H584" i="19"/>
  <c r="H849" i="19"/>
  <c r="I293" i="19"/>
  <c r="I220" i="19"/>
  <c r="I45" i="19"/>
  <c r="I797" i="19"/>
  <c r="I80" i="19"/>
  <c r="I395" i="19"/>
  <c r="H875" i="19"/>
  <c r="H278" i="19"/>
  <c r="H591" i="19"/>
  <c r="I122" i="19"/>
  <c r="H183" i="19"/>
  <c r="I7" i="19"/>
  <c r="I156" i="19"/>
  <c r="I276" i="19"/>
  <c r="I603" i="19"/>
  <c r="H831" i="19"/>
  <c r="I811" i="19"/>
  <c r="H548" i="19"/>
  <c r="H832" i="19"/>
  <c r="H360" i="19"/>
  <c r="I776" i="19"/>
  <c r="H686" i="19"/>
  <c r="I704" i="19"/>
  <c r="H124" i="19"/>
  <c r="I350" i="19"/>
  <c r="I155" i="19"/>
  <c r="I794" i="19"/>
  <c r="I469" i="19"/>
  <c r="H287" i="19"/>
  <c r="H501" i="19"/>
  <c r="H737" i="19"/>
  <c r="H708" i="19"/>
  <c r="I62" i="19"/>
  <c r="I818" i="19"/>
  <c r="I370" i="19"/>
  <c r="I740" i="19"/>
  <c r="H561" i="19"/>
  <c r="H7" i="19"/>
  <c r="I332" i="19"/>
  <c r="H455" i="19"/>
  <c r="I744" i="19"/>
  <c r="I500" i="19"/>
  <c r="I275" i="19"/>
  <c r="H596" i="19"/>
  <c r="I279" i="19"/>
  <c r="H333" i="19"/>
  <c r="H260" i="19"/>
  <c r="I690" i="19"/>
  <c r="I761" i="19"/>
  <c r="I331" i="19"/>
  <c r="I854" i="19"/>
  <c r="I678" i="19"/>
  <c r="H127" i="19"/>
  <c r="I668" i="19"/>
  <c r="H523" i="19"/>
  <c r="I436" i="19"/>
  <c r="H851" i="19"/>
  <c r="H434" i="19"/>
  <c r="H392" i="19"/>
  <c r="H282" i="19"/>
  <c r="H364" i="19"/>
  <c r="H144" i="19"/>
  <c r="I814" i="19"/>
  <c r="I609" i="19"/>
  <c r="H902" i="19"/>
  <c r="I46" i="19"/>
  <c r="H143" i="19"/>
  <c r="H744" i="19"/>
  <c r="I260" i="19"/>
  <c r="H54" i="19"/>
  <c r="I815" i="19"/>
  <c r="H381" i="19"/>
  <c r="H246" i="19"/>
  <c r="H52" i="19"/>
  <c r="I146" i="19"/>
  <c r="I58" i="19"/>
  <c r="H580" i="19"/>
  <c r="I662" i="19"/>
  <c r="H505" i="19"/>
  <c r="I819" i="19"/>
  <c r="H538" i="19"/>
  <c r="I573" i="19"/>
  <c r="H803" i="19"/>
  <c r="H49" i="19"/>
  <c r="H102" i="19"/>
  <c r="I570" i="19"/>
  <c r="H284" i="19"/>
  <c r="I77" i="19"/>
  <c r="I282" i="19"/>
  <c r="H811" i="19"/>
  <c r="H276" i="19"/>
  <c r="I599" i="19"/>
  <c r="I224" i="19"/>
  <c r="H79" i="19"/>
  <c r="H503" i="19"/>
  <c r="H540" i="19"/>
  <c r="H239" i="19"/>
  <c r="I565" i="19"/>
  <c r="H485" i="19"/>
  <c r="H650" i="19"/>
  <c r="H373" i="19"/>
  <c r="I153" i="19"/>
  <c r="I467" i="19"/>
  <c r="H351" i="19"/>
  <c r="I531" i="19"/>
  <c r="H852" i="19"/>
  <c r="H10" i="19"/>
  <c r="I188" i="19"/>
  <c r="H156" i="19"/>
  <c r="I581" i="19"/>
  <c r="I301" i="19"/>
  <c r="H910" i="19"/>
  <c r="I130" i="19"/>
  <c r="H884" i="19"/>
  <c r="I306" i="19"/>
  <c r="I522" i="19"/>
  <c r="H4" i="19"/>
  <c r="H687" i="19"/>
  <c r="H261" i="19"/>
  <c r="I820" i="19"/>
  <c r="I475" i="19"/>
  <c r="I867" i="19"/>
  <c r="I103" i="19"/>
  <c r="H270" i="19"/>
  <c r="I33" i="19"/>
  <c r="H316" i="19"/>
  <c r="H622" i="19"/>
  <c r="I38" i="19"/>
  <c r="H362" i="19"/>
  <c r="H166" i="19"/>
  <c r="I656" i="19"/>
  <c r="H269" i="19"/>
  <c r="I713" i="19"/>
  <c r="I765" i="19"/>
  <c r="H638" i="19"/>
  <c r="I676" i="19"/>
  <c r="H589" i="19"/>
  <c r="I891" i="19"/>
  <c r="H453" i="19"/>
  <c r="I363" i="19"/>
  <c r="I660" i="19"/>
  <c r="H552" i="19"/>
  <c r="H808" i="19"/>
  <c r="I912" i="19"/>
  <c r="H555" i="19"/>
  <c r="I375" i="19"/>
  <c r="I427" i="19"/>
  <c r="I780" i="19"/>
  <c r="I184" i="19"/>
  <c r="H215" i="19"/>
  <c r="H797" i="19"/>
  <c r="H352" i="19"/>
  <c r="I492" i="19"/>
  <c r="I844" i="19"/>
  <c r="H407" i="19"/>
  <c r="H912" i="19"/>
  <c r="I327" i="19"/>
  <c r="H303" i="19"/>
  <c r="H382" i="19"/>
  <c r="H847" i="19"/>
  <c r="H475" i="19"/>
  <c r="I326" i="19"/>
  <c r="I236" i="19"/>
  <c r="H639" i="19"/>
  <c r="I524" i="19"/>
  <c r="H177" i="19"/>
  <c r="I605" i="19"/>
  <c r="H644" i="19"/>
  <c r="I893" i="19"/>
  <c r="H272" i="19"/>
  <c r="H840" i="19"/>
  <c r="I143" i="19"/>
  <c r="I772" i="19"/>
  <c r="I411" i="19"/>
  <c r="H367" i="19"/>
  <c r="H890" i="19"/>
  <c r="I806" i="19"/>
  <c r="H525" i="19"/>
  <c r="H742" i="19"/>
  <c r="I111" i="19"/>
  <c r="H781" i="19"/>
  <c r="H892" i="19"/>
  <c r="I297" i="19"/>
  <c r="H336" i="19"/>
  <c r="H789" i="19"/>
  <c r="H197" i="19"/>
  <c r="I539" i="19"/>
  <c r="I882" i="19"/>
  <c r="H203" i="19"/>
  <c r="I15" i="19"/>
  <c r="I20" i="19"/>
  <c r="I485" i="19"/>
  <c r="I320" i="19"/>
  <c r="H698" i="19"/>
  <c r="H741" i="19"/>
  <c r="H133" i="19"/>
  <c r="H804" i="19"/>
  <c r="H187" i="19"/>
  <c r="I708" i="19"/>
  <c r="I510" i="19"/>
  <c r="I432" i="19"/>
  <c r="I346" i="19"/>
  <c r="I488" i="19"/>
  <c r="I437" i="19"/>
  <c r="H679" i="19"/>
  <c r="I623" i="19"/>
  <c r="H582" i="19"/>
  <c r="H37" i="19"/>
  <c r="I735" i="19"/>
  <c r="I129" i="19"/>
  <c r="H771" i="19"/>
  <c r="I733" i="19"/>
  <c r="H371" i="19"/>
  <c r="H510" i="19"/>
  <c r="H406" i="19"/>
  <c r="I738" i="19"/>
  <c r="I919" i="19"/>
  <c r="H237" i="19"/>
  <c r="I619" i="19"/>
  <c r="I883" i="19"/>
  <c r="I851" i="19"/>
  <c r="H429" i="19"/>
  <c r="H752" i="19"/>
  <c r="H350" i="19"/>
  <c r="H825" i="19"/>
  <c r="I449" i="19"/>
  <c r="H121" i="19"/>
  <c r="H449" i="19"/>
  <c r="I655" i="19"/>
  <c r="I333" i="19"/>
  <c r="H227" i="19"/>
  <c r="I335" i="19"/>
  <c r="I451" i="19"/>
  <c r="I418" i="19"/>
  <c r="H583" i="19"/>
  <c r="I675" i="19"/>
  <c r="I243" i="19"/>
  <c r="I499" i="19"/>
  <c r="I218" i="19"/>
  <c r="I597" i="19"/>
  <c r="I73" i="19"/>
  <c r="I453" i="19"/>
  <c r="H135" i="19"/>
  <c r="I230" i="19"/>
  <c r="I452" i="19"/>
  <c r="H767" i="19"/>
  <c r="H431" i="19"/>
  <c r="H437" i="19"/>
  <c r="I273" i="19"/>
  <c r="I429" i="19"/>
  <c r="H576" i="19"/>
  <c r="I100" i="19"/>
  <c r="H390" i="19"/>
  <c r="I121" i="19"/>
  <c r="H776" i="19"/>
  <c r="I830" i="19"/>
  <c r="I403" i="19"/>
  <c r="H403" i="19"/>
  <c r="H138" i="19"/>
  <c r="I876" i="19"/>
  <c r="I847" i="19"/>
  <c r="H605" i="19"/>
  <c r="H675" i="19"/>
  <c r="H150" i="19"/>
  <c r="I274" i="19"/>
  <c r="H32" i="19"/>
  <c r="I63" i="19"/>
  <c r="H171" i="19"/>
  <c r="H57" i="19"/>
  <c r="I123" i="19"/>
  <c r="H96" i="19"/>
  <c r="H586" i="19"/>
  <c r="H468" i="19"/>
  <c r="I360" i="19"/>
  <c r="I747" i="19"/>
  <c r="I426" i="19"/>
  <c r="I884" i="19"/>
  <c r="I105" i="19"/>
  <c r="H319" i="19"/>
  <c r="I120" i="19"/>
  <c r="H305" i="19"/>
  <c r="I387" i="19"/>
  <c r="H732" i="19"/>
  <c r="H544" i="19"/>
  <c r="I730" i="19"/>
  <c r="H876" i="19"/>
  <c r="H864" i="19"/>
  <c r="I925" i="19"/>
  <c r="H530" i="19"/>
  <c r="H633" i="19"/>
  <c r="I445" i="19"/>
  <c r="H23" i="19"/>
  <c r="H610" i="19"/>
  <c r="H484" i="19"/>
  <c r="I784" i="19"/>
  <c r="H439" i="19"/>
  <c r="H873" i="19"/>
  <c r="H745" i="19"/>
  <c r="H867" i="19"/>
  <c r="H827" i="19"/>
  <c r="I195" i="19"/>
  <c r="I304" i="19"/>
  <c r="H863" i="19"/>
  <c r="H736" i="19"/>
  <c r="I511" i="19"/>
  <c r="H543" i="19"/>
  <c r="H249" i="19"/>
  <c r="I512" i="19"/>
  <c r="H673" i="19"/>
  <c r="H641" i="19"/>
  <c r="I514" i="19"/>
  <c r="I410" i="19"/>
  <c r="H388" i="19"/>
  <c r="H94" i="19"/>
  <c r="H640" i="19"/>
  <c r="H533" i="19"/>
  <c r="I835" i="19"/>
  <c r="H716" i="19"/>
  <c r="I642" i="19"/>
  <c r="H358" i="19"/>
  <c r="H33" i="19"/>
  <c r="H104" i="19"/>
  <c r="H411" i="19"/>
  <c r="H345" i="19"/>
  <c r="H31" i="19"/>
  <c r="I680" i="19"/>
  <c r="I587" i="19"/>
  <c r="I323" i="19"/>
  <c r="I104" i="19"/>
  <c r="H550" i="19"/>
  <c r="I885" i="19"/>
  <c r="H134" i="19"/>
  <c r="I177" i="19"/>
  <c r="I750" i="19"/>
  <c r="H22" i="19"/>
  <c r="I92" i="19"/>
  <c r="H620" i="19"/>
  <c r="H483" i="19"/>
  <c r="H13" i="19"/>
  <c r="I163" i="19"/>
  <c r="H472" i="19"/>
  <c r="I909" i="19"/>
  <c r="H834" i="19"/>
  <c r="I908" i="19"/>
  <c r="I35" i="19"/>
  <c r="H619" i="19"/>
  <c r="H11" i="19"/>
  <c r="H343" i="19"/>
  <c r="H587" i="19"/>
  <c r="H218" i="19"/>
  <c r="I788" i="19"/>
  <c r="I863" i="19"/>
  <c r="H634" i="19"/>
  <c r="H554" i="19"/>
  <c r="I204" i="19"/>
  <c r="H524" i="19"/>
  <c r="H174" i="19"/>
  <c r="I778" i="19"/>
  <c r="H122" i="19"/>
  <c r="H414" i="19"/>
  <c r="I399" i="19"/>
  <c r="I263" i="19"/>
  <c r="I658" i="19"/>
  <c r="I18" i="19"/>
  <c r="I27" i="19"/>
  <c r="H649" i="19"/>
  <c r="H383" i="19"/>
  <c r="H262" i="19"/>
  <c r="H888" i="19"/>
  <c r="H161" i="19"/>
  <c r="I892" i="19"/>
  <c r="H681" i="19"/>
  <c r="H238" i="19"/>
  <c r="H917" i="19"/>
  <c r="I340" i="19"/>
  <c r="H588" i="19"/>
  <c r="H541" i="19"/>
  <c r="I83" i="19"/>
  <c r="I571" i="19"/>
  <c r="H48" i="19"/>
  <c r="I415" i="19"/>
  <c r="H908" i="19"/>
  <c r="I756" i="19"/>
  <c r="H147" i="19"/>
  <c r="H799" i="19"/>
  <c r="I17" i="19"/>
  <c r="I181" i="19"/>
  <c r="I251" i="19"/>
  <c r="I486" i="19"/>
  <c r="H504" i="19"/>
  <c r="H331" i="19"/>
  <c r="H579" i="19"/>
  <c r="I242" i="19"/>
  <c r="H702" i="19"/>
  <c r="I324" i="19"/>
  <c r="H791" i="19"/>
  <c r="H883" i="19"/>
  <c r="H248" i="19"/>
  <c r="I52" i="19"/>
  <c r="I391" i="19"/>
  <c r="I843" i="19"/>
  <c r="H442" i="19"/>
  <c r="H531" i="19"/>
  <c r="H323" i="19"/>
  <c r="H3" i="19"/>
  <c r="I661" i="19"/>
  <c r="H790" i="19"/>
  <c r="H65" i="19"/>
  <c r="I628" i="19"/>
  <c r="I689" i="19"/>
  <c r="H517" i="19"/>
  <c r="H497" i="19"/>
  <c r="H71" i="19"/>
  <c r="I664" i="19"/>
  <c r="H87" i="19"/>
  <c r="H794" i="19"/>
  <c r="I715" i="19"/>
  <c r="I739" i="19"/>
  <c r="I471" i="19"/>
  <c r="H326" i="19"/>
  <c r="H377" i="19"/>
  <c r="H43" i="19"/>
  <c r="H56" i="19"/>
  <c r="H749" i="19"/>
  <c r="I288" i="19"/>
  <c r="H233" i="19"/>
  <c r="H219" i="19"/>
  <c r="H372" i="19"/>
  <c r="H310" i="19"/>
  <c r="I598" i="19"/>
  <c r="H16" i="19"/>
  <c r="H446" i="19"/>
  <c r="I12" i="19"/>
  <c r="I4" i="19"/>
  <c r="I621" i="19"/>
  <c r="I258" i="19"/>
  <c r="H458" i="19"/>
  <c r="H425" i="19"/>
  <c r="H24" i="19"/>
  <c r="I694" i="19"/>
  <c r="I669" i="19"/>
  <c r="H800" i="19"/>
  <c r="H889" i="19"/>
  <c r="H58" i="19"/>
  <c r="I214" i="19"/>
  <c r="H924" i="19"/>
  <c r="H178" i="19"/>
  <c r="H632" i="19"/>
  <c r="I166" i="19"/>
  <c r="I272" i="19"/>
  <c r="H713" i="19"/>
  <c r="H726" i="19"/>
  <c r="H115" i="19"/>
  <c r="H297" i="19"/>
  <c r="I456" i="19"/>
  <c r="H738" i="19"/>
  <c r="H315" i="19"/>
  <c r="H626" i="19"/>
  <c r="I921" i="19"/>
  <c r="I119" i="19"/>
  <c r="H15" i="19"/>
  <c r="H81" i="19"/>
  <c r="H399" i="19"/>
  <c r="H509" i="19"/>
  <c r="H223" i="19"/>
  <c r="H438" i="19"/>
  <c r="H419" i="19"/>
  <c r="I167" i="19"/>
  <c r="I712" i="19"/>
  <c r="I212" i="19"/>
  <c r="H526" i="19"/>
  <c r="I926" i="19"/>
  <c r="I821" i="19"/>
  <c r="I455" i="19"/>
  <c r="I125" i="19"/>
  <c r="I616" i="19"/>
  <c r="I555" i="19"/>
  <c r="I685" i="19"/>
  <c r="H264" i="19"/>
  <c r="H252" i="19"/>
  <c r="H479" i="19"/>
  <c r="H512" i="19"/>
  <c r="H565" i="19"/>
  <c r="H860" i="19"/>
  <c r="I769" i="19"/>
  <c r="I431" i="19"/>
  <c r="H394" i="19"/>
  <c r="H574" i="19"/>
  <c r="H558" i="19"/>
  <c r="I66" i="19"/>
  <c r="H200" i="19"/>
  <c r="H201" i="19"/>
  <c r="H273" i="19"/>
  <c r="I898" i="19"/>
  <c r="I435" i="19"/>
  <c r="I596" i="19"/>
  <c r="I314" i="19"/>
  <c r="I901" i="19"/>
  <c r="I259" i="19"/>
  <c r="H699" i="19"/>
  <c r="H766" i="19"/>
  <c r="H515" i="19"/>
  <c r="I223" i="19"/>
  <c r="H813" i="19"/>
  <c r="H502" i="19"/>
  <c r="H106" i="19"/>
  <c r="I478" i="19"/>
  <c r="I800" i="19"/>
  <c r="I447" i="19"/>
  <c r="H528" i="19"/>
  <c r="H778" i="19"/>
  <c r="I903" i="19"/>
  <c r="H635" i="19"/>
  <c r="H792" i="19"/>
  <c r="H653" i="19"/>
  <c r="I899" i="19"/>
  <c r="I137" i="19"/>
  <c r="I341" i="19"/>
  <c r="I398" i="19"/>
  <c r="I325" i="19"/>
  <c r="H330" i="19"/>
  <c r="I210" i="19"/>
  <c r="H609" i="19"/>
  <c r="I719" i="19"/>
  <c r="I541" i="19"/>
  <c r="H613" i="19"/>
  <c r="H405" i="19"/>
  <c r="I291" i="19"/>
  <c r="I557" i="19"/>
  <c r="H553" i="19"/>
  <c r="H149" i="19"/>
  <c r="H285" i="19"/>
  <c r="H232" i="19"/>
  <c r="H247" i="19"/>
  <c r="I693" i="19"/>
  <c r="I601" i="19"/>
  <c r="I412" i="19"/>
  <c r="I90" i="19"/>
  <c r="I338" i="19"/>
  <c r="I547" i="19"/>
  <c r="H848" i="19"/>
  <c r="I911" i="19"/>
  <c r="I799" i="19"/>
  <c r="I479" i="19"/>
  <c r="I692" i="19"/>
  <c r="H235" i="19"/>
  <c r="H470" i="19"/>
  <c r="I872" i="19"/>
  <c r="I408" i="19"/>
  <c r="I768" i="19"/>
  <c r="H281" i="19"/>
  <c r="I265" i="19"/>
  <c r="H720" i="19"/>
  <c r="I85" i="19"/>
  <c r="H440" i="19"/>
  <c r="I825" i="19"/>
  <c r="H858" i="19"/>
  <c r="H478" i="19"/>
  <c r="H55" i="19"/>
  <c r="H311" i="19"/>
  <c r="H886" i="19"/>
  <c r="H136" i="19"/>
  <c r="H719" i="19"/>
  <c r="I245" i="19"/>
  <c r="I741" i="19"/>
  <c r="I722" i="19"/>
  <c r="H99" i="19"/>
  <c r="I362" i="19"/>
  <c r="I202" i="19"/>
  <c r="I141" i="19"/>
  <c r="I50" i="19"/>
  <c r="I563" i="19"/>
  <c r="I384" i="19"/>
  <c r="I781" i="19"/>
  <c r="H690" i="19"/>
  <c r="H480" i="19"/>
  <c r="H410" i="19"/>
  <c r="H427" i="19"/>
  <c r="I132" i="19"/>
  <c r="I307" i="19"/>
  <c r="I401" i="19"/>
  <c r="H8" i="19"/>
  <c r="H491" i="19"/>
  <c r="I355" i="19"/>
  <c r="H563" i="19"/>
  <c r="H349" i="19"/>
  <c r="H611" i="19"/>
  <c r="I269" i="19"/>
  <c r="H482" i="19"/>
  <c r="I503" i="19"/>
  <c r="H760" i="19"/>
  <c r="I127" i="19"/>
  <c r="I198" i="19"/>
  <c r="H211" i="19"/>
  <c r="I567" i="19"/>
  <c r="I14" i="19"/>
  <c r="H426" i="19"/>
  <c r="I72" i="19"/>
  <c r="I84" i="19"/>
  <c r="I861" i="19"/>
  <c r="I736" i="19"/>
  <c r="H830" i="19"/>
  <c r="H424" i="19"/>
  <c r="H733" i="19"/>
  <c r="H400" i="19"/>
  <c r="I428" i="19"/>
  <c r="I698" i="19"/>
  <c r="H921" i="19"/>
  <c r="I504" i="19"/>
  <c r="I576" i="19"/>
  <c r="I902" i="19"/>
  <c r="H441" i="19"/>
  <c r="H299" i="19"/>
  <c r="I802" i="19"/>
  <c r="I595" i="19"/>
  <c r="I497" i="19"/>
  <c r="H648" i="19"/>
  <c r="I793" i="19"/>
  <c r="H17" i="19"/>
  <c r="I858" i="19"/>
  <c r="H545" i="19"/>
  <c r="H711" i="19"/>
  <c r="I244" i="19"/>
  <c r="I580" i="19"/>
  <c r="H421" i="19"/>
  <c r="H169" i="19"/>
  <c r="H546" i="19"/>
  <c r="I906" i="19"/>
  <c r="H667" i="19"/>
  <c r="H432" i="19"/>
  <c r="H428" i="19"/>
  <c r="I808" i="19"/>
  <c r="H125" i="19"/>
  <c r="I905" i="19"/>
  <c r="I419" i="19"/>
  <c r="I683" i="19"/>
  <c r="I197" i="19"/>
  <c r="H463" i="19"/>
  <c r="H757" i="19"/>
  <c r="H703" i="19"/>
  <c r="I116" i="19"/>
  <c r="I812" i="19"/>
  <c r="H132" i="19"/>
  <c r="H723" i="19"/>
  <c r="H477" i="19"/>
  <c r="H413" i="19"/>
  <c r="I89" i="19"/>
  <c r="I99" i="19"/>
  <c r="H36" i="19"/>
  <c r="H226" i="19"/>
  <c r="I221" i="19"/>
  <c r="I32" i="19"/>
  <c r="H275" i="19"/>
  <c r="I564" i="19"/>
  <c r="H506" i="19"/>
  <c r="H198" i="19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L120" i="18"/>
  <c r="H205" i="18"/>
  <c r="L158" i="18"/>
  <c r="H36" i="18"/>
  <c r="I191" i="18"/>
  <c r="L34" i="18"/>
  <c r="L52" i="18"/>
  <c r="I124" i="18"/>
  <c r="L73" i="18"/>
  <c r="L186" i="18"/>
  <c r="H155" i="18"/>
  <c r="L155" i="18"/>
  <c r="I183" i="18"/>
  <c r="I44" i="18"/>
  <c r="H202" i="18"/>
  <c r="H12" i="18"/>
  <c r="L71" i="18"/>
  <c r="L138" i="18"/>
  <c r="L97" i="18"/>
  <c r="L24" i="18"/>
  <c r="I74" i="18"/>
  <c r="I169" i="18"/>
  <c r="I134" i="18"/>
  <c r="I143" i="18"/>
  <c r="L194" i="18"/>
  <c r="I4" i="18"/>
  <c r="H17" i="18"/>
  <c r="L4" i="18"/>
  <c r="L17" i="18"/>
  <c r="L141" i="18"/>
  <c r="I102" i="18"/>
  <c r="H219" i="18"/>
  <c r="I53" i="18"/>
  <c r="L35" i="18"/>
  <c r="H53" i="18"/>
  <c r="H72" i="18"/>
  <c r="L69" i="18"/>
  <c r="I195" i="18"/>
  <c r="H101" i="18"/>
  <c r="L205" i="18"/>
  <c r="H131" i="18"/>
  <c r="I28" i="18"/>
  <c r="L41" i="18"/>
  <c r="H112" i="18"/>
  <c r="I128" i="18"/>
  <c r="I145" i="18"/>
  <c r="L136" i="18"/>
  <c r="L10" i="18"/>
  <c r="I179" i="18"/>
  <c r="H183" i="18"/>
  <c r="L63" i="18"/>
  <c r="H57" i="18"/>
  <c r="H81" i="18"/>
  <c r="L123" i="18"/>
  <c r="H117" i="18"/>
  <c r="L3" i="18"/>
  <c r="L124" i="18"/>
  <c r="H135" i="18"/>
  <c r="L12" i="18"/>
  <c r="I221" i="18"/>
  <c r="L9" i="18"/>
  <c r="L160" i="18"/>
  <c r="H134" i="18"/>
  <c r="H164" i="18"/>
  <c r="I205" i="18"/>
  <c r="L102" i="18"/>
  <c r="H170" i="18"/>
  <c r="I91" i="18"/>
  <c r="L38" i="18"/>
  <c r="H14" i="18"/>
  <c r="L165" i="18"/>
  <c r="L211" i="18"/>
  <c r="L105" i="18"/>
  <c r="L83" i="18"/>
  <c r="I87" i="18"/>
  <c r="H102" i="18"/>
  <c r="L78" i="18"/>
  <c r="H127" i="18"/>
  <c r="L89" i="18"/>
  <c r="I185" i="18"/>
  <c r="L70" i="18"/>
  <c r="H44" i="18"/>
  <c r="H124" i="18"/>
  <c r="I141" i="18"/>
  <c r="L84" i="18"/>
  <c r="I20" i="18"/>
  <c r="I27" i="18"/>
  <c r="H105" i="18"/>
  <c r="L112" i="18"/>
  <c r="I203" i="18"/>
  <c r="L107" i="18"/>
  <c r="I176" i="18"/>
  <c r="L127" i="18"/>
  <c r="I92" i="18"/>
  <c r="L114" i="18"/>
  <c r="I127" i="18"/>
  <c r="L57" i="18"/>
  <c r="I198" i="18"/>
  <c r="H7" i="18"/>
  <c r="H63" i="18"/>
  <c r="H209" i="18"/>
  <c r="H88" i="18"/>
  <c r="H94" i="18"/>
  <c r="I137" i="18"/>
  <c r="I154" i="18"/>
  <c r="I61" i="18"/>
  <c r="H22" i="18"/>
  <c r="L161" i="18"/>
  <c r="L25" i="18"/>
  <c r="H122" i="18"/>
  <c r="L42" i="18"/>
  <c r="I121" i="18"/>
  <c r="H80" i="18"/>
  <c r="H199" i="18"/>
  <c r="H10" i="18"/>
  <c r="I96" i="18"/>
  <c r="I216" i="18"/>
  <c r="H206" i="18"/>
  <c r="I24" i="18"/>
  <c r="H140" i="18"/>
  <c r="H130" i="18"/>
  <c r="H169" i="18"/>
  <c r="L48" i="18"/>
  <c r="L193" i="18"/>
  <c r="I64" i="18"/>
  <c r="I119" i="18"/>
  <c r="I9" i="18"/>
  <c r="H77" i="18"/>
  <c r="H118" i="18"/>
  <c r="L126" i="18"/>
  <c r="L14" i="18"/>
  <c r="I223" i="18"/>
  <c r="I57" i="18"/>
  <c r="H167" i="18"/>
  <c r="H45" i="18"/>
  <c r="H116" i="18"/>
  <c r="H18" i="18"/>
  <c r="H8" i="18"/>
  <c r="I146" i="18"/>
  <c r="I194" i="18"/>
  <c r="I97" i="18"/>
  <c r="L185" i="18"/>
  <c r="L74" i="18"/>
  <c r="L118" i="18"/>
  <c r="L47" i="18"/>
  <c r="I80" i="18"/>
  <c r="H175" i="18"/>
  <c r="H6" i="18"/>
  <c r="H173" i="18"/>
  <c r="I42" i="18"/>
  <c r="H215" i="18"/>
  <c r="H76" i="18"/>
  <c r="I118" i="18"/>
  <c r="I12" i="18"/>
  <c r="I16" i="18"/>
  <c r="I140" i="18"/>
  <c r="L206" i="18"/>
  <c r="L100" i="18"/>
  <c r="L198" i="18"/>
  <c r="L94" i="18"/>
  <c r="L131" i="18"/>
  <c r="L18" i="18"/>
  <c r="L202" i="18"/>
  <c r="L62" i="18"/>
  <c r="I25" i="18"/>
  <c r="L96" i="18"/>
  <c r="H39" i="18"/>
  <c r="I153" i="18"/>
  <c r="H41" i="18"/>
  <c r="I218" i="18"/>
  <c r="I113" i="18"/>
  <c r="H179" i="18"/>
  <c r="I101" i="18"/>
  <c r="L152" i="18"/>
  <c r="L39" i="18"/>
  <c r="L46" i="18"/>
  <c r="L106" i="18"/>
  <c r="L147" i="18"/>
  <c r="I126" i="18"/>
  <c r="H189" i="18"/>
  <c r="H204" i="18"/>
  <c r="I190" i="18"/>
  <c r="L88" i="18"/>
  <c r="H92" i="18"/>
  <c r="I43" i="18"/>
  <c r="I46" i="18"/>
  <c r="I217" i="18"/>
  <c r="I157" i="18"/>
  <c r="I72" i="18"/>
  <c r="H26" i="18"/>
  <c r="L22" i="18"/>
  <c r="H188" i="18"/>
  <c r="I130" i="18"/>
  <c r="I60" i="18"/>
  <c r="I188" i="18"/>
  <c r="L90" i="18"/>
  <c r="I204" i="18"/>
  <c r="L197" i="18"/>
  <c r="L144" i="18"/>
  <c r="L169" i="18"/>
  <c r="I161" i="18"/>
  <c r="I93" i="18"/>
  <c r="I36" i="18"/>
  <c r="I85" i="18"/>
  <c r="I103" i="18"/>
  <c r="H20" i="18"/>
  <c r="I5" i="18"/>
  <c r="H70" i="18"/>
  <c r="H90" i="18"/>
  <c r="L173" i="18"/>
  <c r="H193" i="18"/>
  <c r="I123" i="18"/>
  <c r="L51" i="18"/>
  <c r="L79" i="18"/>
  <c r="H125" i="18"/>
  <c r="I178" i="18"/>
  <c r="I15" i="18"/>
  <c r="L153" i="18"/>
  <c r="I81" i="18"/>
  <c r="H154" i="18"/>
  <c r="L128" i="18"/>
  <c r="I90" i="18"/>
  <c r="L209" i="18"/>
  <c r="H191" i="18"/>
  <c r="I73" i="18"/>
  <c r="L68" i="18"/>
  <c r="I155" i="18"/>
  <c r="H157" i="18"/>
  <c r="L162" i="18"/>
  <c r="I116" i="18"/>
  <c r="L212" i="18"/>
  <c r="H216" i="18"/>
  <c r="L44" i="18"/>
  <c r="H5" i="18"/>
  <c r="L203" i="18"/>
  <c r="H67" i="18"/>
  <c r="H48" i="18"/>
  <c r="L199" i="18"/>
  <c r="I65" i="18"/>
  <c r="H211" i="18"/>
  <c r="H121" i="18"/>
  <c r="I142" i="18"/>
  <c r="I22" i="18"/>
  <c r="H201" i="18"/>
  <c r="I133" i="18"/>
  <c r="L67" i="18"/>
  <c r="L86" i="18"/>
  <c r="L87" i="18"/>
  <c r="H51" i="18"/>
  <c r="L195" i="18"/>
  <c r="I76" i="18"/>
  <c r="I47" i="18"/>
  <c r="L27" i="18"/>
  <c r="H212" i="18"/>
  <c r="I151" i="18"/>
  <c r="I78" i="18"/>
  <c r="H16" i="18"/>
  <c r="I168" i="18"/>
  <c r="L19" i="18"/>
  <c r="I150" i="18"/>
  <c r="I156" i="18"/>
  <c r="H185" i="18"/>
  <c r="H156" i="18"/>
  <c r="H145" i="18"/>
  <c r="H37" i="18"/>
  <c r="I40" i="18"/>
  <c r="I19" i="18"/>
  <c r="I193" i="18"/>
  <c r="H78" i="18"/>
  <c r="I77" i="18"/>
  <c r="L135" i="18"/>
  <c r="H42" i="18"/>
  <c r="H176" i="18"/>
  <c r="I11" i="18"/>
  <c r="H114" i="18"/>
  <c r="I108" i="18"/>
  <c r="L163" i="18"/>
  <c r="I50" i="18"/>
  <c r="H47" i="18"/>
  <c r="I95" i="18"/>
  <c r="H84" i="18"/>
  <c r="L170" i="18"/>
  <c r="L140" i="18"/>
  <c r="L98" i="18"/>
  <c r="L58" i="18"/>
  <c r="H207" i="18"/>
  <c r="I144" i="18"/>
  <c r="I212" i="18"/>
  <c r="I34" i="18"/>
  <c r="L108" i="18"/>
  <c r="L154" i="18"/>
  <c r="H192" i="18"/>
  <c r="I37" i="18"/>
  <c r="L7" i="18"/>
  <c r="I131" i="18"/>
  <c r="H43" i="18"/>
  <c r="L142" i="18"/>
  <c r="I167" i="18"/>
  <c r="I158" i="18"/>
  <c r="I138" i="18"/>
  <c r="L148" i="18"/>
  <c r="I98" i="18"/>
  <c r="L187" i="18"/>
  <c r="H24" i="18"/>
  <c r="H129" i="18"/>
  <c r="H194" i="18"/>
  <c r="L172" i="18"/>
  <c r="L182" i="18"/>
  <c r="H103" i="18"/>
  <c r="H111" i="18"/>
  <c r="H210" i="18"/>
  <c r="I192" i="18"/>
  <c r="H4" i="18"/>
  <c r="H139" i="18"/>
  <c r="L178" i="18"/>
  <c r="I115" i="18"/>
  <c r="I106" i="18"/>
  <c r="H158" i="18"/>
  <c r="H54" i="18"/>
  <c r="I88" i="18"/>
  <c r="I202" i="18"/>
  <c r="I173" i="18"/>
  <c r="L115" i="18"/>
  <c r="L20" i="18"/>
  <c r="L192" i="18"/>
  <c r="I66" i="18"/>
  <c r="H21" i="18"/>
  <c r="L104" i="18"/>
  <c r="H181" i="18"/>
  <c r="I18" i="18"/>
  <c r="I109" i="18"/>
  <c r="H203" i="18"/>
  <c r="I148" i="18"/>
  <c r="H166" i="18"/>
  <c r="L150" i="18"/>
  <c r="I172" i="18"/>
  <c r="H159" i="18"/>
  <c r="L132" i="18"/>
  <c r="I14" i="18"/>
  <c r="I166" i="18"/>
  <c r="L49" i="18"/>
  <c r="L167" i="18"/>
  <c r="L8" i="18"/>
  <c r="I99" i="18"/>
  <c r="H64" i="18"/>
  <c r="L143" i="18"/>
  <c r="H119" i="18"/>
  <c r="H168" i="18"/>
  <c r="H177" i="18"/>
  <c r="L45" i="18"/>
  <c r="L175" i="18"/>
  <c r="H91" i="18"/>
  <c r="I208" i="18"/>
  <c r="H106" i="18"/>
  <c r="H25" i="18"/>
  <c r="H143" i="18"/>
  <c r="I35" i="18"/>
  <c r="L129" i="18"/>
  <c r="H75" i="18"/>
  <c r="I84" i="18"/>
  <c r="L156" i="18"/>
  <c r="I67" i="18"/>
  <c r="L60" i="18"/>
  <c r="H147" i="18"/>
  <c r="L113" i="18"/>
  <c r="L196" i="18"/>
  <c r="H137" i="18"/>
  <c r="L32" i="18"/>
  <c r="H178" i="18"/>
  <c r="I63" i="18"/>
  <c r="I170" i="18"/>
  <c r="H95" i="18"/>
  <c r="I182" i="18"/>
  <c r="L164" i="18"/>
  <c r="H120" i="18"/>
  <c r="I33" i="18"/>
  <c r="L23" i="18"/>
  <c r="H55" i="18"/>
  <c r="H172" i="18"/>
  <c r="I86" i="18"/>
  <c r="L200" i="18"/>
  <c r="I152" i="18"/>
  <c r="H31" i="18"/>
  <c r="H19" i="18"/>
  <c r="L61" i="18"/>
  <c r="H136" i="18"/>
  <c r="L64" i="18"/>
  <c r="I10" i="18"/>
  <c r="H151" i="18"/>
  <c r="L2" i="18"/>
  <c r="H15" i="18"/>
  <c r="L139" i="18"/>
  <c r="L75" i="18"/>
  <c r="I189" i="18"/>
  <c r="L66" i="18"/>
  <c r="I75" i="18"/>
  <c r="H149" i="18"/>
  <c r="L125" i="18"/>
  <c r="H59" i="18"/>
  <c r="H60" i="18"/>
  <c r="I120" i="18"/>
  <c r="H58" i="18"/>
  <c r="L116" i="18"/>
  <c r="L130" i="18"/>
  <c r="H126" i="18"/>
  <c r="L111" i="18"/>
  <c r="H86" i="18"/>
  <c r="H11" i="18"/>
  <c r="I62" i="18"/>
  <c r="I39" i="18"/>
  <c r="I79" i="18"/>
  <c r="L210" i="18"/>
  <c r="L137" i="18"/>
  <c r="L92" i="18"/>
  <c r="H100" i="18"/>
  <c r="H93" i="18"/>
  <c r="L93" i="18"/>
  <c r="L133" i="18"/>
  <c r="I206" i="18"/>
  <c r="H85" i="18"/>
  <c r="H65" i="18"/>
  <c r="I17" i="18"/>
  <c r="L15" i="18"/>
  <c r="L103" i="18"/>
  <c r="H133" i="18"/>
  <c r="H108" i="18"/>
  <c r="L176" i="18"/>
  <c r="L134" i="18"/>
  <c r="I132" i="18"/>
  <c r="H35" i="18"/>
  <c r="H83" i="18"/>
  <c r="L11" i="18"/>
  <c r="H56" i="18"/>
  <c r="H222" i="18"/>
  <c r="H165" i="18"/>
  <c r="L6" i="18"/>
  <c r="L26" i="18"/>
  <c r="H46" i="18"/>
  <c r="I89" i="18"/>
  <c r="I112" i="18"/>
  <c r="I13" i="18"/>
  <c r="L204" i="18"/>
  <c r="L30" i="18"/>
  <c r="L59" i="18"/>
  <c r="L166" i="18"/>
  <c r="I147" i="18"/>
  <c r="H153" i="18"/>
  <c r="I29" i="18"/>
  <c r="H197" i="18"/>
  <c r="H3" i="18"/>
  <c r="L76" i="18"/>
  <c r="L110" i="18"/>
  <c r="L56" i="18"/>
  <c r="H163" i="18"/>
  <c r="H161" i="18"/>
  <c r="L95" i="18"/>
  <c r="L157" i="18"/>
  <c r="I222" i="18"/>
  <c r="I219" i="18"/>
  <c r="L53" i="18"/>
  <c r="I105" i="18"/>
  <c r="H28" i="18"/>
  <c r="L54" i="18"/>
  <c r="H38" i="18"/>
  <c r="I125" i="18"/>
  <c r="I69" i="18"/>
  <c r="H198" i="18"/>
  <c r="I171" i="18"/>
  <c r="H196" i="18"/>
  <c r="I209" i="18"/>
  <c r="I49" i="18"/>
  <c r="H171" i="18"/>
  <c r="H49" i="18"/>
  <c r="I111" i="18"/>
  <c r="I3" i="18"/>
  <c r="H152" i="18"/>
  <c r="I163" i="18"/>
  <c r="H142" i="18"/>
  <c r="L145" i="18"/>
  <c r="I8" i="18"/>
  <c r="L33" i="18"/>
  <c r="H104" i="18"/>
  <c r="H52" i="18"/>
  <c r="L50" i="18"/>
  <c r="L149" i="18"/>
  <c r="I48" i="18"/>
  <c r="L109" i="18"/>
  <c r="I197" i="18"/>
  <c r="H71" i="18"/>
  <c r="L21" i="18"/>
  <c r="L146" i="18"/>
  <c r="I70" i="18"/>
  <c r="I68" i="18"/>
  <c r="H190" i="18"/>
  <c r="I175" i="18"/>
  <c r="H148" i="18"/>
  <c r="L174" i="18"/>
  <c r="H160" i="18"/>
  <c r="I136" i="18"/>
  <c r="L177" i="18"/>
  <c r="I56" i="18"/>
  <c r="I110" i="18"/>
  <c r="I2" i="18"/>
  <c r="L151" i="18"/>
  <c r="H174" i="18"/>
  <c r="L31" i="18"/>
  <c r="I207" i="18"/>
  <c r="H9" i="18"/>
  <c r="H97" i="18"/>
  <c r="I149" i="18"/>
  <c r="H195" i="18"/>
  <c r="H221" i="18"/>
  <c r="I83" i="18"/>
  <c r="H79" i="18"/>
  <c r="I58" i="18"/>
  <c r="H32" i="18"/>
  <c r="H132" i="18"/>
  <c r="H30" i="18"/>
  <c r="H99" i="18"/>
  <c r="I199" i="18"/>
  <c r="H98" i="18"/>
  <c r="I122" i="18"/>
  <c r="H138" i="18"/>
  <c r="L207" i="18"/>
  <c r="I71" i="18"/>
  <c r="H50" i="18"/>
  <c r="H213" i="18"/>
  <c r="H109" i="18"/>
  <c r="L191" i="18"/>
  <c r="I177" i="18"/>
  <c r="I181" i="18"/>
  <c r="H208" i="18"/>
  <c r="I30" i="18"/>
  <c r="I6" i="18"/>
  <c r="I174" i="18"/>
  <c r="I104" i="18"/>
  <c r="L171" i="18"/>
  <c r="I159" i="18"/>
  <c r="L121" i="18"/>
  <c r="L16" i="18"/>
  <c r="I23" i="18"/>
  <c r="H146" i="18"/>
  <c r="I114" i="18"/>
  <c r="L159" i="18"/>
  <c r="H13" i="18"/>
  <c r="I129" i="18"/>
  <c r="H89" i="18"/>
  <c r="H23" i="18"/>
  <c r="H73" i="18"/>
  <c r="I45" i="18"/>
  <c r="L81" i="18"/>
  <c r="H110" i="18"/>
  <c r="H74" i="18"/>
  <c r="L65" i="18"/>
  <c r="L168" i="18"/>
  <c r="I214" i="18"/>
  <c r="H33" i="18"/>
  <c r="H223" i="18"/>
  <c r="I38" i="18"/>
  <c r="H29" i="18"/>
  <c r="I94" i="18"/>
  <c r="H184" i="18"/>
  <c r="L91" i="18"/>
  <c r="H150" i="18"/>
  <c r="H218" i="18"/>
  <c r="I201" i="18"/>
  <c r="I180" i="18"/>
  <c r="L179" i="18"/>
  <c r="H186" i="18"/>
  <c r="L80" i="18"/>
  <c r="I165" i="18"/>
  <c r="H180" i="18"/>
  <c r="I54" i="18"/>
  <c r="I51" i="18"/>
  <c r="L122" i="18"/>
  <c r="I32" i="18"/>
  <c r="H82" i="18"/>
  <c r="L55" i="18"/>
  <c r="I186" i="18"/>
  <c r="H27" i="18"/>
  <c r="H144" i="18"/>
  <c r="L180" i="18"/>
  <c r="I52" i="18"/>
  <c r="L29" i="18"/>
  <c r="I162" i="18"/>
  <c r="I213" i="18"/>
  <c r="L181" i="18"/>
  <c r="L43" i="18"/>
  <c r="H141" i="18"/>
  <c r="H34" i="18"/>
  <c r="H123" i="18"/>
  <c r="L5" i="18"/>
  <c r="L72" i="18"/>
  <c r="I117" i="18"/>
  <c r="I210" i="18"/>
  <c r="L37" i="18"/>
  <c r="H69" i="18"/>
  <c r="L184" i="18"/>
  <c r="H162" i="18"/>
  <c r="H2" i="18"/>
  <c r="I220" i="18"/>
  <c r="H107" i="18"/>
  <c r="H68" i="18"/>
  <c r="I107" i="18"/>
  <c r="H182" i="18"/>
  <c r="H214" i="18"/>
  <c r="I211" i="18"/>
  <c r="H62" i="18"/>
  <c r="I21" i="18"/>
  <c r="I184" i="18"/>
  <c r="L117" i="18"/>
  <c r="I82" i="18"/>
  <c r="I100" i="18"/>
  <c r="I215" i="18"/>
  <c r="H128" i="18"/>
  <c r="I139" i="18"/>
  <c r="L82" i="18"/>
  <c r="H220" i="18"/>
  <c r="L85" i="18"/>
  <c r="L183" i="18"/>
  <c r="I135" i="18"/>
  <c r="H115" i="18"/>
  <c r="H87" i="18"/>
  <c r="L36" i="18"/>
  <c r="I187" i="18"/>
  <c r="I55" i="18"/>
  <c r="I164" i="18"/>
  <c r="L101" i="18"/>
  <c r="L201" i="18"/>
  <c r="H200" i="18"/>
  <c r="L13" i="18"/>
  <c r="I196" i="18"/>
  <c r="I26" i="18"/>
  <c r="I7" i="18"/>
  <c r="I31" i="18"/>
  <c r="I41" i="18"/>
  <c r="I200" i="18"/>
  <c r="H66" i="18"/>
  <c r="L208" i="18"/>
  <c r="H61" i="18"/>
  <c r="H187" i="18"/>
  <c r="L119" i="18"/>
  <c r="H40" i="18"/>
  <c r="L77" i="18"/>
  <c r="I59" i="18"/>
  <c r="L40" i="18"/>
  <c r="H217" i="18"/>
  <c r="H96" i="18"/>
  <c r="L28" i="18"/>
  <c r="H113" i="18"/>
  <c r="L99" i="18"/>
  <c r="I160" i="18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J1102" i="19" s="1"/>
  <c r="T1102" i="19" s="1"/>
  <c r="E43" i="4"/>
  <c r="J360" i="18" s="1"/>
  <c r="E44" i="4"/>
  <c r="W366" i="18" s="1"/>
  <c r="J997" i="19"/>
  <c r="J1042" i="19"/>
  <c r="J363" i="18"/>
  <c r="J331" i="18"/>
  <c r="J227" i="18"/>
  <c r="J296" i="18"/>
  <c r="J317" i="18"/>
  <c r="J356" i="18"/>
  <c r="J295" i="18" l="1"/>
  <c r="W363" i="18"/>
  <c r="J1100" i="19"/>
  <c r="T1100" i="19" s="1"/>
  <c r="W360" i="18"/>
  <c r="J1116" i="19"/>
  <c r="T1116" i="19" s="1"/>
  <c r="J1115" i="19"/>
  <c r="T1115" i="19" s="1"/>
  <c r="J1101" i="19"/>
  <c r="T1101" i="19" s="1"/>
  <c r="W356" i="18"/>
  <c r="J1103" i="19"/>
  <c r="T1103" i="19" s="1"/>
  <c r="J1104" i="19"/>
  <c r="T1104" i="19" s="1"/>
  <c r="W331" i="18"/>
  <c r="W317" i="18"/>
  <c r="W295" i="18"/>
  <c r="W296" i="18"/>
  <c r="T1042" i="19"/>
  <c r="T997" i="19"/>
  <c r="W227" i="18"/>
  <c r="Y19" i="12"/>
  <c r="J1091" i="19"/>
  <c r="J678" i="19"/>
  <c r="J928" i="19"/>
  <c r="J727" i="19"/>
  <c r="J915" i="19"/>
  <c r="J140" i="19"/>
  <c r="J942" i="19"/>
  <c r="J790" i="19"/>
  <c r="J986" i="19"/>
  <c r="J42" i="19"/>
  <c r="J976" i="19"/>
  <c r="J173" i="19"/>
  <c r="J189" i="19"/>
  <c r="J186" i="19"/>
  <c r="J1090" i="19"/>
  <c r="J614" i="19"/>
  <c r="J301" i="19"/>
  <c r="J622" i="19"/>
  <c r="J55" i="19"/>
  <c r="J712" i="19"/>
  <c r="J939" i="19"/>
  <c r="J299" i="19"/>
  <c r="J854" i="19"/>
  <c r="J501" i="19"/>
  <c r="J400" i="19"/>
  <c r="J161" i="19"/>
  <c r="J730" i="19"/>
  <c r="J507" i="19"/>
  <c r="J201" i="19"/>
  <c r="J419" i="19"/>
  <c r="J295" i="19"/>
  <c r="J817" i="19"/>
  <c r="J961" i="19"/>
  <c r="J602" i="19"/>
  <c r="J1008" i="19"/>
  <c r="J670" i="19"/>
  <c r="J423" i="19"/>
  <c r="J958" i="19"/>
  <c r="J850" i="19"/>
  <c r="J832" i="19"/>
  <c r="J471" i="19"/>
  <c r="J283" i="19"/>
  <c r="J549" i="19"/>
  <c r="J940" i="19"/>
  <c r="J988" i="19"/>
  <c r="J1087" i="19"/>
  <c r="J953" i="19"/>
  <c r="J965" i="19"/>
  <c r="J722" i="19"/>
  <c r="J840" i="19"/>
  <c r="J913" i="19"/>
  <c r="J421" i="19"/>
  <c r="J212" i="19"/>
  <c r="J987" i="19"/>
  <c r="J505" i="19"/>
  <c r="J1024" i="19"/>
  <c r="J495" i="19"/>
  <c r="J621" i="19"/>
  <c r="J925" i="19"/>
  <c r="J1030" i="19"/>
  <c r="J692" i="19"/>
  <c r="J916" i="19"/>
  <c r="J894" i="19"/>
  <c r="J934" i="19"/>
  <c r="J174" i="19"/>
  <c r="J198" i="19"/>
  <c r="J56" i="19"/>
  <c r="J1027" i="19"/>
  <c r="J834" i="19"/>
  <c r="J304" i="19"/>
  <c r="J291" i="19"/>
  <c r="J742" i="19"/>
  <c r="J1013" i="19"/>
  <c r="J139" i="19"/>
  <c r="J275" i="19"/>
  <c r="J672" i="19"/>
  <c r="J880" i="19"/>
  <c r="J411" i="19"/>
  <c r="J555" i="19"/>
  <c r="J898" i="19"/>
  <c r="J1028" i="19"/>
  <c r="J199" i="19"/>
  <c r="J984" i="19"/>
  <c r="J714" i="19"/>
  <c r="J669" i="19"/>
  <c r="J175" i="19"/>
  <c r="J422" i="19"/>
  <c r="J141" i="19"/>
  <c r="J613" i="19"/>
  <c r="J296" i="19"/>
  <c r="J52" i="19"/>
  <c r="J948" i="19"/>
  <c r="J842" i="19"/>
  <c r="J211" i="19"/>
  <c r="J697" i="19"/>
  <c r="J816" i="19"/>
  <c r="J881" i="19"/>
  <c r="J909" i="19"/>
  <c r="J989" i="19"/>
  <c r="J895" i="19"/>
  <c r="J1040" i="19"/>
  <c r="J686" i="19"/>
  <c r="J412" i="19"/>
  <c r="J736" i="19"/>
  <c r="J713" i="19"/>
  <c r="J51" i="19"/>
  <c r="J135" i="19"/>
  <c r="J750" i="19"/>
  <c r="J890" i="19"/>
  <c r="J708" i="19"/>
  <c r="J668" i="19"/>
  <c r="J924" i="19"/>
  <c r="J612" i="19"/>
  <c r="J866" i="19"/>
  <c r="J293" i="19"/>
  <c r="J147" i="19"/>
  <c r="J716" i="19"/>
  <c r="J477" i="19"/>
  <c r="J1022" i="19"/>
  <c r="J483" i="19"/>
  <c r="J754" i="19"/>
  <c r="J975" i="19"/>
  <c r="J1041" i="19"/>
  <c r="J836" i="19"/>
  <c r="J914" i="19"/>
  <c r="J146" i="19"/>
  <c r="J963" i="19"/>
  <c r="J172" i="19"/>
  <c r="J608" i="19"/>
  <c r="J481" i="19"/>
  <c r="J1006" i="19"/>
  <c r="J908" i="19"/>
  <c r="J811" i="19"/>
  <c r="J506" i="19"/>
  <c r="J145" i="19"/>
  <c r="J50" i="19"/>
  <c r="J696" i="19"/>
  <c r="J833" i="19"/>
  <c r="J424" i="19"/>
  <c r="J726" i="19"/>
  <c r="J868" i="19"/>
  <c r="J938" i="19"/>
  <c r="J985" i="19"/>
  <c r="J664" i="19"/>
  <c r="J884" i="19"/>
  <c r="J962" i="19"/>
  <c r="J876" i="19"/>
  <c r="J756" i="19"/>
  <c r="J904" i="19"/>
  <c r="J960" i="19"/>
  <c r="J849" i="19"/>
  <c r="J271" i="19"/>
  <c r="J274" i="19"/>
  <c r="J851" i="19"/>
  <c r="J862" i="19"/>
  <c r="J658" i="19"/>
  <c r="J202" i="19"/>
  <c r="J284" i="19"/>
  <c r="J294" i="19"/>
  <c r="J684" i="19"/>
  <c r="J300" i="19"/>
  <c r="J971" i="19"/>
  <c r="J1009" i="19"/>
  <c r="J683" i="19"/>
  <c r="J276" i="19"/>
  <c r="J805" i="19"/>
  <c r="J129" i="19"/>
  <c r="J399" i="19"/>
  <c r="J420" i="19"/>
  <c r="J303" i="19"/>
  <c r="J698" i="19"/>
  <c r="J856" i="19"/>
  <c r="J819" i="19"/>
  <c r="J1036" i="19"/>
  <c r="J991" i="19"/>
  <c r="J791" i="19"/>
  <c r="J896" i="19"/>
  <c r="J910" i="19"/>
  <c r="J148" i="19"/>
  <c r="J273" i="19"/>
  <c r="J740" i="19"/>
  <c r="J835" i="19"/>
  <c r="J187" i="19"/>
  <c r="J951" i="19"/>
  <c r="J1018" i="19"/>
  <c r="J852" i="19"/>
  <c r="J200" i="19"/>
  <c r="J959" i="19"/>
  <c r="J1005" i="19"/>
  <c r="J292" i="19"/>
  <c r="J482" i="19"/>
  <c r="J1004" i="19"/>
  <c r="J870" i="19"/>
  <c r="J682" i="19"/>
  <c r="J741" i="19"/>
  <c r="J744" i="19"/>
  <c r="J755" i="19"/>
  <c r="J926" i="19"/>
  <c r="J160" i="19"/>
  <c r="J923" i="19"/>
  <c r="J543" i="19"/>
  <c r="J194" i="19"/>
  <c r="J882" i="19"/>
  <c r="J554" i="19"/>
  <c r="J867" i="19"/>
  <c r="J728" i="19"/>
  <c r="J1007" i="19"/>
  <c r="J977" i="19"/>
  <c r="J149" i="19"/>
  <c r="J1023" i="19"/>
  <c r="J302" i="19"/>
  <c r="J815" i="19"/>
  <c r="J841" i="19"/>
  <c r="J825" i="19"/>
  <c r="J553" i="19"/>
  <c r="J702" i="19"/>
  <c r="J853" i="19"/>
  <c r="J952" i="19"/>
  <c r="J272" i="19"/>
  <c r="J99" i="18"/>
  <c r="J326" i="18"/>
  <c r="J120" i="18"/>
  <c r="J70" i="18"/>
  <c r="J142" i="18"/>
  <c r="J223" i="18"/>
  <c r="J222" i="18"/>
  <c r="J327" i="18"/>
  <c r="J15" i="18"/>
  <c r="J329" i="18"/>
  <c r="J220" i="18"/>
  <c r="J10" i="18"/>
  <c r="J56" i="18"/>
  <c r="J156" i="18"/>
  <c r="J213" i="18"/>
  <c r="J355" i="18"/>
  <c r="J229" i="18"/>
  <c r="J59" i="18"/>
  <c r="J77" i="18"/>
  <c r="J315" i="18"/>
  <c r="J122" i="18"/>
  <c r="J325" i="18"/>
  <c r="J41" i="18"/>
  <c r="J344" i="18"/>
  <c r="J51" i="18"/>
  <c r="J2" i="18"/>
  <c r="J235" i="18"/>
  <c r="J123" i="18"/>
  <c r="J53" i="18"/>
  <c r="J48" i="18"/>
  <c r="J266" i="18"/>
  <c r="J221" i="18"/>
  <c r="J4" i="18"/>
  <c r="J23" i="18"/>
  <c r="J82" i="18"/>
  <c r="J161" i="18"/>
  <c r="J9" i="18"/>
  <c r="J361" i="18"/>
  <c r="J83" i="18"/>
  <c r="J3" i="18"/>
  <c r="J224" i="18"/>
  <c r="J45" i="18"/>
  <c r="J46" i="18"/>
  <c r="J162" i="18"/>
  <c r="J38" i="18"/>
  <c r="W361" i="18" l="1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W365" i="18" s="1"/>
  <c r="E41" i="4"/>
  <c r="E42" i="4"/>
  <c r="E47" i="4"/>
  <c r="E48" i="4"/>
  <c r="J1060" i="19" s="1"/>
  <c r="E49" i="4"/>
  <c r="J15" i="20" s="1"/>
  <c r="U15" i="20" s="1"/>
  <c r="E50" i="4"/>
  <c r="J1061" i="19"/>
  <c r="J995" i="19"/>
  <c r="J992" i="19"/>
  <c r="J1083" i="19"/>
  <c r="J996" i="19"/>
  <c r="J1037" i="19"/>
  <c r="J1064" i="19"/>
  <c r="J265" i="18"/>
  <c r="J319" i="18"/>
  <c r="J358" i="18"/>
  <c r="J251" i="18"/>
  <c r="J302" i="18"/>
  <c r="J277" i="18"/>
  <c r="J345" i="18"/>
  <c r="J318" i="18"/>
  <c r="J312" i="18"/>
  <c r="J316" i="18"/>
  <c r="J294" i="18"/>
  <c r="J324" i="18"/>
  <c r="J357" i="18"/>
  <c r="J313" i="18"/>
  <c r="J293" i="18"/>
  <c r="J359" i="18"/>
  <c r="J300" i="18"/>
  <c r="J287" i="18"/>
  <c r="J286" i="18"/>
  <c r="J299" i="18"/>
  <c r="J246" i="18"/>
  <c r="J301" i="18"/>
  <c r="J349" i="18"/>
  <c r="J343" i="18"/>
  <c r="J314" i="18"/>
  <c r="J1096" i="19" l="1"/>
  <c r="T1096" i="19" s="1"/>
  <c r="J16" i="20"/>
  <c r="U16" i="20" s="1"/>
  <c r="J364" i="18"/>
  <c r="W364" i="18" s="1"/>
  <c r="W359" i="18"/>
  <c r="J1099" i="19"/>
  <c r="T1099" i="19" s="1"/>
  <c r="W357" i="18"/>
  <c r="J1097" i="19"/>
  <c r="T1097" i="19" s="1"/>
  <c r="J1113" i="19"/>
  <c r="T1113" i="19" s="1"/>
  <c r="J1114" i="19"/>
  <c r="T1114" i="19" s="1"/>
  <c r="J1109" i="19"/>
  <c r="T1109" i="19" s="1"/>
  <c r="J1110" i="19"/>
  <c r="T1110" i="19" s="1"/>
  <c r="J1108" i="19"/>
  <c r="T1108" i="19" s="1"/>
  <c r="J1107" i="19"/>
  <c r="T1107" i="19" s="1"/>
  <c r="J1098" i="19"/>
  <c r="T1098" i="19" s="1"/>
  <c r="W358" i="18"/>
  <c r="J1112" i="19"/>
  <c r="T1112" i="19" s="1"/>
  <c r="J1111" i="19"/>
  <c r="T1111" i="19" s="1"/>
  <c r="J1105" i="19"/>
  <c r="T1105" i="19" s="1"/>
  <c r="J1106" i="19"/>
  <c r="T1106" i="19" s="1"/>
  <c r="W349" i="18"/>
  <c r="W345" i="18"/>
  <c r="W343" i="18"/>
  <c r="T1083" i="19"/>
  <c r="W324" i="18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W251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1056" i="19"/>
  <c r="J1058" i="19"/>
  <c r="J1085" i="19"/>
  <c r="J1046" i="19"/>
  <c r="J1071" i="19"/>
  <c r="J1068" i="19"/>
  <c r="J1067" i="19"/>
  <c r="J1066" i="19"/>
  <c r="J1092" i="19"/>
  <c r="J1079" i="19"/>
  <c r="J1045" i="19"/>
  <c r="J1094" i="19"/>
  <c r="J1055" i="19"/>
  <c r="J1073" i="19"/>
  <c r="J1086" i="19"/>
  <c r="J1053" i="19"/>
  <c r="J1077" i="19"/>
  <c r="J1093" i="19"/>
  <c r="J1063" i="19"/>
  <c r="J1043" i="19"/>
  <c r="J1072" i="19"/>
  <c r="J1048" i="19"/>
  <c r="J1047" i="19"/>
  <c r="J1095" i="19"/>
  <c r="J1088" i="19"/>
  <c r="J1070" i="19"/>
  <c r="J1074" i="19"/>
  <c r="J1089" i="19"/>
  <c r="J1076" i="19"/>
  <c r="J1081" i="19"/>
  <c r="J1082" i="19"/>
  <c r="J1049" i="19"/>
  <c r="J1054" i="19"/>
  <c r="J1062" i="19"/>
  <c r="J1051" i="19"/>
  <c r="J1050" i="19"/>
  <c r="J1078" i="19"/>
  <c r="J1044" i="19"/>
  <c r="J1075" i="19"/>
  <c r="J1084" i="19"/>
  <c r="J1069" i="19"/>
  <c r="J993" i="19"/>
  <c r="J1057" i="19"/>
  <c r="J1065" i="19"/>
  <c r="J1080" i="19"/>
  <c r="J1052" i="19"/>
  <c r="J1059" i="19"/>
  <c r="J362" i="18"/>
  <c r="J333" i="18"/>
  <c r="J347" i="18"/>
  <c r="J320" i="18"/>
  <c r="J322" i="18"/>
  <c r="J339" i="18"/>
  <c r="J305" i="18"/>
  <c r="J330" i="18"/>
  <c r="J332" i="18"/>
  <c r="J279" i="18"/>
  <c r="J328" i="18"/>
  <c r="J342" i="18"/>
  <c r="J321" i="18"/>
  <c r="J280" i="18"/>
  <c r="J288" i="18"/>
  <c r="J337" i="18"/>
  <c r="J310" i="18"/>
  <c r="J290" i="18"/>
  <c r="J353" i="18"/>
  <c r="J338" i="18"/>
  <c r="J283" i="18"/>
  <c r="J291" i="18"/>
  <c r="J340" i="18"/>
  <c r="J274" i="18"/>
  <c r="J335" i="18"/>
  <c r="J311" i="18"/>
  <c r="J285" i="18"/>
  <c r="J275" i="18"/>
  <c r="J341" i="18"/>
  <c r="J256" i="18"/>
  <c r="J351" i="18"/>
  <c r="J307" i="18"/>
  <c r="J276" i="18"/>
  <c r="J334" i="18"/>
  <c r="J292" i="18"/>
  <c r="J308" i="18"/>
  <c r="J289" i="18"/>
  <c r="J346" i="18"/>
  <c r="J278" i="18"/>
  <c r="J281" i="18"/>
  <c r="J298" i="18"/>
  <c r="J348" i="18"/>
  <c r="J352" i="18"/>
  <c r="J304" i="18"/>
  <c r="J336" i="18"/>
  <c r="J323" i="18"/>
  <c r="J354" i="18"/>
  <c r="J306" i="18"/>
  <c r="J282" i="18"/>
  <c r="J284" i="18"/>
  <c r="J350" i="18"/>
  <c r="J303" i="18"/>
  <c r="J297" i="18"/>
  <c r="J309" i="18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W362" i="18" l="1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783" i="19"/>
  <c r="J354" i="19"/>
  <c r="J947" i="19"/>
  <c r="J897" i="19"/>
  <c r="J583" i="19"/>
  <c r="J760" i="19"/>
  <c r="J690" i="19"/>
  <c r="J12" i="19"/>
  <c r="J974" i="19"/>
  <c r="J438" i="19"/>
  <c r="J289" i="19"/>
  <c r="J788" i="19"/>
  <c r="J491" i="19"/>
  <c r="J106" i="19"/>
  <c r="J85" i="19"/>
  <c r="J151" i="19"/>
  <c r="J110" i="19"/>
  <c r="J371" i="19"/>
  <c r="J197" i="19"/>
  <c r="J369" i="19"/>
  <c r="J569" i="19"/>
  <c r="J514" i="19"/>
  <c r="J281" i="19"/>
  <c r="J949" i="19"/>
  <c r="J417" i="19"/>
  <c r="J416" i="19"/>
  <c r="J551" i="19"/>
  <c r="J360" i="19"/>
  <c r="J573" i="19"/>
  <c r="J671" i="19"/>
  <c r="J674" i="19"/>
  <c r="J230" i="19"/>
  <c r="J793" i="19"/>
  <c r="J407" i="19"/>
  <c r="J405" i="19"/>
  <c r="J837" i="19"/>
  <c r="J365" i="19"/>
  <c r="J204" i="19"/>
  <c r="J801" i="19"/>
  <c r="J86" i="19"/>
  <c r="J771" i="19"/>
  <c r="J143" i="19"/>
  <c r="J434" i="19"/>
  <c r="J871" i="19"/>
  <c r="J626" i="19"/>
  <c r="J2" i="19"/>
  <c r="J603" i="19"/>
  <c r="J616" i="19"/>
  <c r="J88" i="19"/>
  <c r="J58" i="19"/>
  <c r="J980" i="19"/>
  <c r="J517" i="19"/>
  <c r="J886" i="19"/>
  <c r="J632" i="19"/>
  <c r="J724" i="19"/>
  <c r="J458" i="19"/>
  <c r="J319" i="19"/>
  <c r="J183" i="19"/>
  <c r="J899" i="19"/>
  <c r="J1016" i="19"/>
  <c r="J203" i="19"/>
  <c r="J796" i="19"/>
  <c r="J764" i="19"/>
  <c r="J994" i="19"/>
  <c r="J645" i="19"/>
  <c r="J122" i="19"/>
  <c r="J558" i="19"/>
  <c r="J89" i="19"/>
  <c r="J732" i="19"/>
  <c r="J635" i="19"/>
  <c r="J326" i="19"/>
  <c r="J404" i="19"/>
  <c r="J681" i="19"/>
  <c r="J546" i="19"/>
  <c r="J432" i="19"/>
  <c r="J729" i="19"/>
  <c r="J166" i="19"/>
  <c r="J566" i="19"/>
  <c r="J251" i="19"/>
  <c r="J885" i="19"/>
  <c r="J131" i="19"/>
  <c r="J31" i="19"/>
  <c r="J311" i="19"/>
  <c r="J663" i="19"/>
  <c r="J242" i="19"/>
  <c r="J662" i="19"/>
  <c r="J41" i="19"/>
  <c r="J831" i="19"/>
  <c r="J35" i="19"/>
  <c r="J694" i="19"/>
  <c r="J363" i="19"/>
  <c r="J474" i="19"/>
  <c r="J524" i="19"/>
  <c r="J500" i="19"/>
  <c r="J401" i="19"/>
  <c r="J325" i="19"/>
  <c r="J226" i="19"/>
  <c r="J190" i="19"/>
  <c r="J237" i="19"/>
  <c r="J855" i="19"/>
  <c r="J150" i="19"/>
  <c r="J1012" i="19"/>
  <c r="J378" i="19"/>
  <c r="J376" i="19"/>
  <c r="J455" i="19"/>
  <c r="J1017" i="19"/>
  <c r="J542" i="19"/>
  <c r="J389" i="19"/>
  <c r="J762" i="19"/>
  <c r="J539" i="19"/>
  <c r="J770" i="19"/>
  <c r="J290" i="19"/>
  <c r="J800" i="19"/>
  <c r="J395" i="19"/>
  <c r="J247" i="19"/>
  <c r="J342" i="19"/>
  <c r="J176" i="19"/>
  <c r="J589" i="19"/>
  <c r="J711" i="19"/>
  <c r="J747" i="19"/>
  <c r="J77" i="19"/>
  <c r="J353" i="19"/>
  <c r="J519" i="19"/>
  <c r="J1039" i="19"/>
  <c r="J706" i="19"/>
  <c r="J710" i="19"/>
  <c r="J593" i="19"/>
  <c r="J922" i="19"/>
  <c r="J34" i="19"/>
  <c r="J338" i="19"/>
  <c r="J46" i="19"/>
  <c r="J588" i="19"/>
  <c r="J875" i="19"/>
  <c r="J758" i="19"/>
  <c r="J657" i="19"/>
  <c r="J591" i="19"/>
  <c r="J238" i="19"/>
  <c r="J739" i="19"/>
  <c r="J824" i="19"/>
  <c r="J279" i="19"/>
  <c r="J649" i="19"/>
  <c r="J386" i="19"/>
  <c r="J818" i="19"/>
  <c r="J874" i="19"/>
  <c r="J493" i="19"/>
  <c r="J547" i="19"/>
  <c r="J20" i="19"/>
  <c r="J699" i="19"/>
  <c r="J213" i="19"/>
  <c r="J844" i="19"/>
  <c r="J761" i="19"/>
  <c r="J720" i="19"/>
  <c r="J124" i="19"/>
  <c r="J128" i="19"/>
  <c r="J373" i="19"/>
  <c r="J105" i="19"/>
  <c r="J165" i="19"/>
  <c r="J528" i="19"/>
  <c r="J228" i="19"/>
  <c r="J759" i="19"/>
  <c r="J596" i="19"/>
  <c r="J313" i="19"/>
  <c r="J258" i="19"/>
  <c r="J677" i="19"/>
  <c r="J243" i="19"/>
  <c r="J858" i="19"/>
  <c r="J535" i="19"/>
  <c r="J478" i="19"/>
  <c r="J826" i="19"/>
  <c r="J592" i="19"/>
  <c r="J567" i="19"/>
  <c r="J181" i="19"/>
  <c r="J121" i="19"/>
  <c r="J794" i="19"/>
  <c r="J557" i="19"/>
  <c r="J409" i="19"/>
  <c r="J757" i="19"/>
  <c r="J1019" i="19"/>
  <c r="J72" i="19"/>
  <c r="J28" i="19"/>
  <c r="J522" i="19"/>
  <c r="J316" i="19"/>
  <c r="J362" i="19"/>
  <c r="J318" i="19"/>
  <c r="J652" i="19"/>
  <c r="J263" i="19"/>
  <c r="J784" i="19"/>
  <c r="J93" i="19"/>
  <c r="J23" i="19"/>
  <c r="J280" i="19"/>
  <c r="J792" i="19"/>
  <c r="J323" i="19"/>
  <c r="J107" i="19"/>
  <c r="J641" i="19"/>
  <c r="J828" i="19"/>
  <c r="J575" i="19"/>
  <c r="J44" i="19"/>
  <c r="J95" i="19"/>
  <c r="J779" i="19"/>
  <c r="J436" i="19"/>
  <c r="J245" i="19"/>
  <c r="J647" i="19"/>
  <c r="J983" i="19"/>
  <c r="J537" i="19"/>
  <c r="J6" i="19"/>
  <c r="J610" i="19"/>
  <c r="J142" i="19"/>
  <c r="J918" i="19"/>
  <c r="J912" i="19"/>
  <c r="J795" i="19"/>
  <c r="J548" i="19"/>
  <c r="J457" i="19"/>
  <c r="J830" i="19"/>
  <c r="J136" i="19"/>
  <c r="J580" i="19"/>
  <c r="J808" i="19"/>
  <c r="J340" i="19"/>
  <c r="J249" i="19"/>
  <c r="J689" i="19"/>
  <c r="J746" i="19"/>
  <c r="J494" i="19"/>
  <c r="J748" i="19"/>
  <c r="J510" i="19"/>
  <c r="J946" i="19"/>
  <c r="J763" i="19"/>
  <c r="J27" i="19"/>
  <c r="J981" i="19"/>
  <c r="J297" i="19"/>
  <c r="J380" i="19"/>
  <c r="J21" i="19"/>
  <c r="J257" i="19"/>
  <c r="J8" i="19"/>
  <c r="J627" i="19"/>
  <c r="J397" i="19"/>
  <c r="J490" i="19"/>
  <c r="J337" i="19"/>
  <c r="J703" i="19"/>
  <c r="J218" i="19"/>
  <c r="J520" i="19"/>
  <c r="J666" i="19"/>
  <c r="J749" i="19"/>
  <c r="J617" i="19"/>
  <c r="J571" i="19"/>
  <c r="J57" i="19"/>
  <c r="J665" i="19"/>
  <c r="J484" i="19"/>
  <c r="J511" i="19"/>
  <c r="J470" i="19"/>
  <c r="J789" i="19"/>
  <c r="J92" i="19"/>
  <c r="J968" i="19"/>
  <c r="J446" i="19"/>
  <c r="J967" i="19"/>
  <c r="J351" i="19"/>
  <c r="J562" i="19"/>
  <c r="J838" i="19"/>
  <c r="J442" i="19"/>
  <c r="J843" i="19"/>
  <c r="J733" i="19"/>
  <c r="J804" i="19"/>
  <c r="J259" i="19"/>
  <c r="J18" i="19"/>
  <c r="J26" i="19"/>
  <c r="J101" i="19"/>
  <c r="J653" i="19"/>
  <c r="J633" i="19"/>
  <c r="J402" i="19"/>
  <c r="J29" i="19"/>
  <c r="J179" i="19"/>
  <c r="J123" i="19"/>
  <c r="J1014" i="19"/>
  <c r="J114" i="19"/>
  <c r="J264" i="19"/>
  <c r="J98" i="19"/>
  <c r="J396" i="19"/>
  <c r="J860" i="19"/>
  <c r="J487" i="19"/>
  <c r="J349" i="19"/>
  <c r="J169" i="19"/>
  <c r="J943" i="19"/>
  <c r="J451" i="19"/>
  <c r="J931" i="19"/>
  <c r="J642" i="19"/>
  <c r="J24" i="19"/>
  <c r="J773" i="19"/>
  <c r="J476" i="19"/>
  <c r="J298" i="19"/>
  <c r="J718" i="19"/>
  <c r="J113" i="19"/>
  <c r="J944" i="19"/>
  <c r="J534" i="19"/>
  <c r="J646" i="19"/>
  <c r="J426" i="19"/>
  <c r="J605" i="19"/>
  <c r="J4" i="19"/>
  <c r="J531" i="19"/>
  <c r="J523" i="19"/>
  <c r="J464" i="19"/>
  <c r="J1011" i="19"/>
  <c r="J433" i="19"/>
  <c r="J845" i="19"/>
  <c r="J413" i="19"/>
  <c r="J704" i="19"/>
  <c r="J191" i="19"/>
  <c r="J104" i="19"/>
  <c r="J256" i="19"/>
  <c r="J630" i="19"/>
  <c r="J453" i="19"/>
  <c r="J130" i="19"/>
  <c r="J224" i="19"/>
  <c r="J449" i="19"/>
  <c r="J208" i="19"/>
  <c r="J559" i="19"/>
  <c r="J715" i="19"/>
  <c r="J717" i="19"/>
  <c r="J628" i="19"/>
  <c r="J846" i="19"/>
  <c r="J227" i="19"/>
  <c r="J1026" i="19"/>
  <c r="J581" i="19"/>
  <c r="J317" i="19"/>
  <c r="J639" i="19"/>
  <c r="J240" i="19"/>
  <c r="J17" i="19"/>
  <c r="J768" i="19"/>
  <c r="J383" i="19"/>
  <c r="J11" i="19"/>
  <c r="J966" i="19"/>
  <c r="J246" i="19"/>
  <c r="J820" i="19"/>
  <c r="J578" i="19"/>
  <c r="J541" i="19"/>
  <c r="J118" i="19"/>
  <c r="J133" i="19"/>
  <c r="J654" i="19"/>
  <c r="J516" i="19"/>
  <c r="J310" i="19"/>
  <c r="J550" i="19"/>
  <c r="J343" i="19"/>
  <c r="J650" i="19"/>
  <c r="J586" i="19"/>
  <c r="J782" i="19"/>
  <c r="J387" i="19"/>
  <c r="J108" i="19"/>
  <c r="J81" i="19"/>
  <c r="J388" i="19"/>
  <c r="J721" i="19"/>
  <c r="J659" i="19"/>
  <c r="J513" i="19"/>
  <c r="J766" i="19"/>
  <c r="J177" i="19"/>
  <c r="J545" i="19"/>
  <c r="J611" i="19"/>
  <c r="J49" i="19"/>
  <c r="J307" i="19"/>
  <c r="J920" i="19"/>
  <c r="J911" i="19"/>
  <c r="J629" i="19"/>
  <c r="J435" i="19"/>
  <c r="J903" i="19"/>
  <c r="J533" i="19"/>
  <c r="J185" i="19"/>
  <c r="J480" i="19"/>
  <c r="J450" i="19"/>
  <c r="J673" i="19"/>
  <c r="J941" i="19"/>
  <c r="J552" i="19"/>
  <c r="J486" i="19"/>
  <c r="J879" i="19"/>
  <c r="J184" i="19"/>
  <c r="J765" i="19"/>
  <c r="J83" i="19"/>
  <c r="J775" i="19"/>
  <c r="J9" i="19"/>
  <c r="J348" i="19"/>
  <c r="J889" i="19"/>
  <c r="J335" i="19"/>
  <c r="J193" i="19"/>
  <c r="J214" i="19"/>
  <c r="J607" i="19"/>
  <c r="J731" i="19"/>
  <c r="J619" i="19"/>
  <c r="J932" i="19"/>
  <c r="J753" i="19"/>
  <c r="J155" i="19"/>
  <c r="J643" i="19"/>
  <c r="J99" i="19"/>
  <c r="J120" i="19"/>
  <c r="J693" i="19"/>
  <c r="J508" i="19"/>
  <c r="J990" i="19"/>
  <c r="J695" i="19"/>
  <c r="J954" i="19"/>
  <c r="J334" i="19"/>
  <c r="J67" i="19"/>
  <c r="J489" i="19"/>
  <c r="J676" i="19"/>
  <c r="J598" i="19"/>
  <c r="J576" i="19"/>
  <c r="J738" i="19"/>
  <c r="J266" i="19"/>
  <c r="J688" i="19"/>
  <c r="J473" i="19"/>
  <c r="J344" i="19"/>
  <c r="J921" i="19"/>
  <c r="J153" i="19"/>
  <c r="J872" i="19"/>
  <c r="J74" i="19"/>
  <c r="J737" i="19"/>
  <c r="J560" i="19"/>
  <c r="J902" i="19"/>
  <c r="J324" i="19"/>
  <c r="J126" i="19"/>
  <c r="J1035" i="19"/>
  <c r="J64" i="19"/>
  <c r="J604" i="19"/>
  <c r="J568" i="19"/>
  <c r="J87" i="19"/>
  <c r="J68" i="19"/>
  <c r="J625" i="19"/>
  <c r="J111" i="19"/>
  <c r="J339" i="19"/>
  <c r="J406" i="19"/>
  <c r="J1032" i="19"/>
  <c r="J437" i="19"/>
  <c r="J33" i="19"/>
  <c r="J540" i="19"/>
  <c r="J521" i="19"/>
  <c r="J656" i="19"/>
  <c r="J780" i="19"/>
  <c r="J7" i="19"/>
  <c r="J469" i="19"/>
  <c r="J163" i="19"/>
  <c r="J901" i="19"/>
  <c r="J70" i="19"/>
  <c r="J929" i="19"/>
  <c r="J61" i="19"/>
  <c r="J785" i="19"/>
  <c r="J905" i="19"/>
  <c r="J776" i="19"/>
  <c r="J341" i="19"/>
  <c r="J956" i="19"/>
  <c r="J36" i="19"/>
  <c r="J216" i="19"/>
  <c r="J675" i="19"/>
  <c r="J261" i="19"/>
  <c r="J618" i="19"/>
  <c r="J564" i="19"/>
  <c r="J97" i="19"/>
  <c r="J410" i="19"/>
  <c r="J392" i="19"/>
  <c r="J861" i="19"/>
  <c r="J829" i="19"/>
  <c r="J1021" i="19"/>
  <c r="J374" i="19"/>
  <c r="J39" i="19"/>
  <c r="J448" i="19"/>
  <c r="J361" i="19"/>
  <c r="J878" i="19"/>
  <c r="J90" i="19"/>
  <c r="J221" i="19"/>
  <c r="J900" i="19"/>
  <c r="J3" i="19"/>
  <c r="J15" i="19"/>
  <c r="J530" i="19"/>
  <c r="J973" i="19"/>
  <c r="J76" i="19"/>
  <c r="J529" i="19"/>
  <c r="J574" i="19"/>
  <c r="J158" i="19"/>
  <c r="J587" i="19"/>
  <c r="J268" i="19"/>
  <c r="J359" i="19"/>
  <c r="J408" i="19"/>
  <c r="J1000" i="19"/>
  <c r="J701" i="19"/>
  <c r="J180" i="19"/>
  <c r="J54" i="19"/>
  <c r="J164" i="19"/>
  <c r="J235" i="19"/>
  <c r="J48" i="19"/>
  <c r="J454" i="19"/>
  <c r="J10" i="19"/>
  <c r="J570" i="19"/>
  <c r="J188" i="19"/>
  <c r="J467" i="19"/>
  <c r="J59" i="19"/>
  <c r="J236" i="19"/>
  <c r="J117" i="19"/>
  <c r="J115" i="19"/>
  <c r="J66" i="19"/>
  <c r="J220" i="19"/>
  <c r="J138" i="19"/>
  <c r="J927" i="19"/>
  <c r="J957" i="19"/>
  <c r="J269" i="19"/>
  <c r="J286" i="19"/>
  <c r="J888" i="19"/>
  <c r="J330" i="19"/>
  <c r="J857" i="19"/>
  <c r="J73" i="19"/>
  <c r="J599" i="19"/>
  <c r="J461" i="19"/>
  <c r="J329" i="19"/>
  <c r="J60" i="19"/>
  <c r="J414" i="19"/>
  <c r="J336" i="19"/>
  <c r="J16" i="19"/>
  <c r="J1002" i="19"/>
  <c r="J1015" i="19"/>
  <c r="J1038" i="19"/>
  <c r="J503" i="19"/>
  <c r="J333" i="19"/>
  <c r="J685" i="19"/>
  <c r="J425" i="19"/>
  <c r="J346" i="19"/>
  <c r="J865" i="19"/>
  <c r="J248" i="19"/>
  <c r="J644" i="19"/>
  <c r="J615" i="19"/>
  <c r="J933" i="19"/>
  <c r="J485" i="19"/>
  <c r="J498" i="19"/>
  <c r="J781" i="19"/>
  <c r="J210" i="19"/>
  <c r="J431" i="19"/>
  <c r="J456" i="19"/>
  <c r="J877" i="19"/>
  <c r="J398" i="19"/>
  <c r="J769" i="19"/>
  <c r="J930" i="19"/>
  <c r="J109" i="19"/>
  <c r="J347" i="19"/>
  <c r="J32" i="19"/>
  <c r="J468" i="19"/>
  <c r="J391" i="19"/>
  <c r="J65" i="19"/>
  <c r="J134" i="19"/>
  <c r="J63" i="19"/>
  <c r="J1034" i="19"/>
  <c r="J1003" i="19"/>
  <c r="J667" i="19"/>
  <c r="J305" i="19"/>
  <c r="J719" i="19"/>
  <c r="J260" i="19"/>
  <c r="J19" i="19"/>
  <c r="J178" i="19"/>
  <c r="J277" i="19"/>
  <c r="J497" i="19"/>
  <c r="J231" i="19"/>
  <c r="J515" i="19"/>
  <c r="J206" i="19"/>
  <c r="J584" i="19"/>
  <c r="J232" i="19"/>
  <c r="J472" i="19"/>
  <c r="J241" i="19"/>
  <c r="J418" i="19"/>
  <c r="J381" i="19"/>
  <c r="J735" i="19"/>
  <c r="J315" i="19"/>
  <c r="J827" i="19"/>
  <c r="J116" i="19"/>
  <c r="J53" i="19"/>
  <c r="J1029" i="19"/>
  <c r="J30" i="19"/>
  <c r="J137" i="19"/>
  <c r="J127" i="19"/>
  <c r="J743" i="19"/>
  <c r="J809" i="19"/>
  <c r="J452" i="19"/>
  <c r="J75" i="19"/>
  <c r="J209" i="19"/>
  <c r="J352" i="19"/>
  <c r="J217" i="19"/>
  <c r="J964" i="19"/>
  <c r="J661" i="19"/>
  <c r="J572" i="19"/>
  <c r="J356" i="19"/>
  <c r="J687" i="19"/>
  <c r="J278" i="19"/>
  <c r="J239" i="19"/>
  <c r="J563" i="19"/>
  <c r="J306" i="19"/>
  <c r="J601" i="19"/>
  <c r="J778" i="19"/>
  <c r="J502" i="19"/>
  <c r="J1031" i="19"/>
  <c r="J252" i="19"/>
  <c r="J466" i="19"/>
  <c r="J156" i="19"/>
  <c r="J536" i="19"/>
  <c r="J62" i="19"/>
  <c r="J969" i="19"/>
  <c r="J285" i="19"/>
  <c r="J441" i="19"/>
  <c r="J873" i="19"/>
  <c r="J561" i="19"/>
  <c r="J1020" i="19"/>
  <c r="J822" i="19"/>
  <c r="J192" i="19"/>
  <c r="J1033" i="19"/>
  <c r="J624" i="19"/>
  <c r="J254" i="19"/>
  <c r="J196" i="19"/>
  <c r="J640" i="19"/>
  <c r="J38" i="19"/>
  <c r="J444" i="19"/>
  <c r="J585" i="19"/>
  <c r="J403" i="19"/>
  <c r="J799" i="19"/>
  <c r="J390" i="19"/>
  <c r="J14" i="19"/>
  <c r="J267" i="19"/>
  <c r="J465" i="19"/>
  <c r="J427" i="19"/>
  <c r="J509" i="19"/>
  <c r="J282" i="19"/>
  <c r="J803" i="19"/>
  <c r="J723" i="19"/>
  <c r="J917" i="19"/>
  <c r="J364" i="19"/>
  <c r="J634" i="19"/>
  <c r="J79" i="19"/>
  <c r="J366" i="19"/>
  <c r="J78" i="19"/>
  <c r="J582" i="19"/>
  <c r="J787" i="19"/>
  <c r="J745" i="19"/>
  <c r="J798" i="19"/>
  <c r="J255" i="19"/>
  <c r="J40" i="19"/>
  <c r="J159" i="19"/>
  <c r="J512" i="19"/>
  <c r="J606" i="19"/>
  <c r="J321" i="19"/>
  <c r="J556" i="19"/>
  <c r="J883" i="19"/>
  <c r="J253" i="19"/>
  <c r="J479" i="19"/>
  <c r="J312" i="19"/>
  <c r="J69" i="19"/>
  <c r="J328" i="19"/>
  <c r="J812" i="19"/>
  <c r="J786" i="19"/>
  <c r="J797" i="19"/>
  <c r="J609" i="19"/>
  <c r="J182" i="19"/>
  <c r="J978" i="19"/>
  <c r="J382" i="19"/>
  <c r="J891" i="19"/>
  <c r="J309" i="19"/>
  <c r="J935" i="19"/>
  <c r="J332" i="19"/>
  <c r="J950" i="19"/>
  <c r="J700" i="19"/>
  <c r="J807" i="19"/>
  <c r="J47" i="19"/>
  <c r="J488" i="19"/>
  <c r="J112" i="19"/>
  <c r="J863" i="19"/>
  <c r="J492" i="19"/>
  <c r="J767" i="19"/>
  <c r="J394" i="19"/>
  <c r="J13" i="19"/>
  <c r="J525" i="19"/>
  <c r="J532" i="19"/>
  <c r="J157" i="19"/>
  <c r="J439" i="19"/>
  <c r="J80" i="19"/>
  <c r="J440" i="19"/>
  <c r="J945" i="19"/>
  <c r="J892" i="19"/>
  <c r="J125" i="19"/>
  <c r="J429" i="19"/>
  <c r="J864" i="19"/>
  <c r="J250" i="19"/>
  <c r="J595" i="19"/>
  <c r="J222" i="19"/>
  <c r="J308" i="19"/>
  <c r="J679" i="19"/>
  <c r="J103" i="19"/>
  <c r="J637" i="19"/>
  <c r="J45" i="19"/>
  <c r="J648" i="19"/>
  <c r="J223" i="19"/>
  <c r="J102" i="19"/>
  <c r="J270" i="19"/>
  <c r="J937" i="19"/>
  <c r="J636" i="19"/>
  <c r="J813" i="19"/>
  <c r="J970" i="19"/>
  <c r="J170" i="19"/>
  <c r="J972" i="19"/>
  <c r="J518" i="19"/>
  <c r="J445" i="19"/>
  <c r="J631" i="19"/>
  <c r="J152" i="19"/>
  <c r="J262" i="19"/>
  <c r="J327" i="19"/>
  <c r="J823" i="19"/>
  <c r="J368" i="19"/>
  <c r="J496" i="19"/>
  <c r="J475" i="19"/>
  <c r="J462" i="19"/>
  <c r="J705" i="19"/>
  <c r="J100" i="19"/>
  <c r="J154" i="19"/>
  <c r="J459" i="19"/>
  <c r="J504" i="19"/>
  <c r="J372" i="19"/>
  <c r="J725" i="19"/>
  <c r="J207" i="19"/>
  <c r="J357" i="19"/>
  <c r="J774" i="19"/>
  <c r="J320" i="19"/>
  <c r="J594" i="19"/>
  <c r="J600" i="19"/>
  <c r="J579" i="19"/>
  <c r="J999" i="19"/>
  <c r="J463" i="19"/>
  <c r="J544" i="19"/>
  <c r="J415" i="19"/>
  <c r="J428" i="19"/>
  <c r="J379" i="19"/>
  <c r="J577" i="19"/>
  <c r="J1001" i="19"/>
  <c r="J660" i="19"/>
  <c r="J821" i="19"/>
  <c r="J893" i="19"/>
  <c r="J907" i="19"/>
  <c r="J955" i="19"/>
  <c r="J377" i="19"/>
  <c r="J229" i="19"/>
  <c r="J709" i="19"/>
  <c r="J802" i="19"/>
  <c r="J84" i="19"/>
  <c r="J848" i="19"/>
  <c r="J71" i="19"/>
  <c r="J919" i="19"/>
  <c r="J219" i="19"/>
  <c r="J375" i="19"/>
  <c r="J384" i="19"/>
  <c r="J322" i="19"/>
  <c r="J936" i="19"/>
  <c r="J1010" i="19"/>
  <c r="J288" i="19"/>
  <c r="J806" i="19"/>
  <c r="J43" i="19"/>
  <c r="J355" i="19"/>
  <c r="J82" i="19"/>
  <c r="J91" i="19"/>
  <c r="J205" i="19"/>
  <c r="J265" i="19"/>
  <c r="J620" i="19"/>
  <c r="J906" i="19"/>
  <c r="J168" i="19"/>
  <c r="J597" i="19"/>
  <c r="J638" i="19"/>
  <c r="J370" i="19"/>
  <c r="J37" i="19"/>
  <c r="J527" i="19"/>
  <c r="J367" i="19"/>
  <c r="J887" i="19"/>
  <c r="J215" i="19"/>
  <c r="J590" i="19"/>
  <c r="J707" i="19"/>
  <c r="J751" i="19"/>
  <c r="J460" i="19"/>
  <c r="J233" i="19"/>
  <c r="J810" i="19"/>
  <c r="J998" i="19"/>
  <c r="J345" i="19"/>
  <c r="J162" i="19"/>
  <c r="J287" i="19"/>
  <c r="J859" i="19"/>
  <c r="J144" i="19"/>
  <c r="J526" i="19"/>
  <c r="J623" i="19"/>
  <c r="J869" i="19"/>
  <c r="J839" i="19"/>
  <c r="J430" i="19"/>
  <c r="J538" i="19"/>
  <c r="J5" i="19"/>
  <c r="J25" i="19"/>
  <c r="J447" i="19"/>
  <c r="J167" i="19"/>
  <c r="J1025" i="19"/>
  <c r="J234" i="19"/>
  <c r="J132" i="19"/>
  <c r="J22" i="19"/>
  <c r="J691" i="19"/>
  <c r="J393" i="19"/>
  <c r="J979" i="19"/>
  <c r="J752" i="19"/>
  <c r="J734" i="19"/>
  <c r="J651" i="19"/>
  <c r="J443" i="19"/>
  <c r="J94" i="19"/>
  <c r="J772" i="19"/>
  <c r="J499" i="19"/>
  <c r="J225" i="19"/>
  <c r="J655" i="19"/>
  <c r="J314" i="19"/>
  <c r="J680" i="19"/>
  <c r="J847" i="19"/>
  <c r="J331" i="19"/>
  <c r="J565" i="19"/>
  <c r="J814" i="19"/>
  <c r="J358" i="19"/>
  <c r="J350" i="19"/>
  <c r="J119" i="19"/>
  <c r="J171" i="19"/>
  <c r="J982" i="19"/>
  <c r="J244" i="19"/>
  <c r="J777" i="19"/>
  <c r="J385" i="19"/>
  <c r="J96" i="19"/>
  <c r="J195" i="19"/>
  <c r="J94" i="18"/>
  <c r="J172" i="18"/>
  <c r="J174" i="18"/>
  <c r="J179" i="18"/>
  <c r="J134" i="18"/>
  <c r="J50" i="18"/>
  <c r="J40" i="18"/>
  <c r="J272" i="18"/>
  <c r="J262" i="18"/>
  <c r="J239" i="18"/>
  <c r="J54" i="18"/>
  <c r="J126" i="18"/>
  <c r="J28" i="18"/>
  <c r="J35" i="18"/>
  <c r="J249" i="18"/>
  <c r="J79" i="18"/>
  <c r="J71" i="18"/>
  <c r="J190" i="18"/>
  <c r="J60" i="18"/>
  <c r="J182" i="18"/>
  <c r="J165" i="18"/>
  <c r="J133" i="18"/>
  <c r="J189" i="18"/>
  <c r="J135" i="18"/>
  <c r="J234" i="18"/>
  <c r="J20" i="18"/>
  <c r="J43" i="18"/>
  <c r="J127" i="18"/>
  <c r="J73" i="18"/>
  <c r="J178" i="18"/>
  <c r="J68" i="18"/>
  <c r="J233" i="18"/>
  <c r="J96" i="18"/>
  <c r="J52" i="18"/>
  <c r="J228" i="18"/>
  <c r="J61" i="18"/>
  <c r="J260" i="18"/>
  <c r="J141" i="18"/>
  <c r="J49" i="18"/>
  <c r="J24" i="18"/>
  <c r="J78" i="18"/>
  <c r="J204" i="18"/>
  <c r="J271" i="18"/>
  <c r="J198" i="18"/>
  <c r="J149" i="18"/>
  <c r="J63" i="18"/>
  <c r="J98" i="18"/>
  <c r="J140" i="18"/>
  <c r="J159" i="18"/>
  <c r="J169" i="18"/>
  <c r="J84" i="18"/>
  <c r="J196" i="18"/>
  <c r="J132" i="18"/>
  <c r="J6" i="18"/>
  <c r="J138" i="18"/>
  <c r="J231" i="18"/>
  <c r="J19" i="18"/>
  <c r="J177" i="18"/>
  <c r="J47" i="18"/>
  <c r="J74" i="18"/>
  <c r="J267" i="18"/>
  <c r="J155" i="18"/>
  <c r="J160" i="18"/>
  <c r="J236" i="18"/>
  <c r="J225" i="18"/>
  <c r="J30" i="18"/>
  <c r="J92" i="18"/>
  <c r="J144" i="18"/>
  <c r="J121" i="18"/>
  <c r="J238" i="18"/>
  <c r="J67" i="18"/>
  <c r="J42" i="18"/>
  <c r="J168" i="18"/>
  <c r="J166" i="18"/>
  <c r="J194" i="18"/>
  <c r="J237" i="18"/>
  <c r="J14" i="18"/>
  <c r="J252" i="18"/>
  <c r="J264" i="18"/>
  <c r="J188" i="18"/>
  <c r="J209" i="18"/>
  <c r="J5" i="18"/>
  <c r="J268" i="18"/>
  <c r="J257" i="18"/>
  <c r="J244" i="18"/>
  <c r="J21" i="18"/>
  <c r="J88" i="18"/>
  <c r="J205" i="18"/>
  <c r="J62" i="18"/>
  <c r="J199" i="18"/>
  <c r="J259" i="18"/>
  <c r="J147" i="18"/>
  <c r="J270" i="18"/>
  <c r="J202" i="18"/>
  <c r="J171" i="18"/>
  <c r="J243" i="18"/>
  <c r="J16" i="18"/>
  <c r="J89" i="18"/>
  <c r="J170" i="18"/>
  <c r="J137" i="18"/>
  <c r="J219" i="18"/>
  <c r="J131" i="18"/>
  <c r="J240" i="18"/>
  <c r="J216" i="18"/>
  <c r="J201" i="18"/>
  <c r="J200" i="18"/>
  <c r="J273" i="18"/>
  <c r="J176" i="18"/>
  <c r="J107" i="18"/>
  <c r="J183" i="18"/>
  <c r="J164" i="18"/>
  <c r="J80" i="18"/>
  <c r="J214" i="18"/>
  <c r="J139" i="18"/>
  <c r="J128" i="18"/>
  <c r="J105" i="18"/>
  <c r="J34" i="18"/>
  <c r="J81" i="18"/>
  <c r="J136" i="18"/>
  <c r="J232" i="18"/>
  <c r="J175" i="18"/>
  <c r="J263" i="18"/>
  <c r="J72" i="18"/>
  <c r="J110" i="18"/>
  <c r="J93" i="18"/>
  <c r="J100" i="18"/>
  <c r="J90" i="18"/>
  <c r="J17" i="18"/>
  <c r="J91" i="18"/>
  <c r="J65" i="18"/>
  <c r="J117" i="18"/>
  <c r="J230" i="18"/>
  <c r="J241" i="18"/>
  <c r="J103" i="18"/>
  <c r="J193" i="18"/>
  <c r="J111" i="18"/>
  <c r="J261" i="18"/>
  <c r="J217" i="18"/>
  <c r="J114" i="18"/>
  <c r="J95" i="18"/>
  <c r="J27" i="18"/>
  <c r="J151" i="18"/>
  <c r="J195" i="18"/>
  <c r="J154" i="18"/>
  <c r="J203" i="18"/>
  <c r="J253" i="18"/>
  <c r="J153" i="18"/>
  <c r="J143" i="18"/>
  <c r="J208" i="18"/>
  <c r="J25" i="18"/>
  <c r="J31" i="18"/>
  <c r="J250" i="18"/>
  <c r="J248" i="18"/>
  <c r="J129" i="18"/>
  <c r="J258" i="18"/>
  <c r="J102" i="18"/>
  <c r="J57" i="18"/>
  <c r="J86" i="18"/>
  <c r="J192" i="18"/>
  <c r="J101" i="18"/>
  <c r="J157" i="18"/>
  <c r="J106" i="18"/>
  <c r="J58" i="18"/>
  <c r="J145" i="18"/>
  <c r="J226" i="18"/>
  <c r="J212" i="18"/>
  <c r="J76" i="18"/>
  <c r="J242" i="18"/>
  <c r="J11" i="18"/>
  <c r="J12" i="18"/>
  <c r="J124" i="18"/>
  <c r="J115" i="18"/>
  <c r="J97" i="18"/>
  <c r="J36" i="18"/>
  <c r="J44" i="18"/>
  <c r="J69" i="18"/>
  <c r="J185" i="18"/>
  <c r="J173" i="18"/>
  <c r="J37" i="18"/>
  <c r="J215" i="18"/>
  <c r="J39" i="18"/>
  <c r="J191" i="18"/>
  <c r="J180" i="18"/>
  <c r="J186" i="18"/>
  <c r="J29" i="18"/>
  <c r="J109" i="18"/>
  <c r="J119" i="18"/>
  <c r="J118" i="18"/>
  <c r="J210" i="18"/>
  <c r="J32" i="18"/>
  <c r="J116" i="18"/>
  <c r="J163" i="18"/>
  <c r="J22" i="18"/>
  <c r="J104" i="18"/>
  <c r="J255" i="18"/>
  <c r="J113" i="18"/>
  <c r="J64" i="18"/>
  <c r="J108" i="18"/>
  <c r="J211" i="18"/>
  <c r="J66" i="18"/>
  <c r="J187" i="18"/>
  <c r="J125" i="18"/>
  <c r="J7" i="18"/>
  <c r="J197" i="18"/>
  <c r="J13" i="18"/>
  <c r="J218" i="18"/>
  <c r="J85" i="18"/>
  <c r="J245" i="18"/>
  <c r="J87" i="18"/>
  <c r="J167" i="18"/>
  <c r="J112" i="18"/>
  <c r="J181" i="18"/>
  <c r="J150" i="18"/>
  <c r="J146" i="18"/>
  <c r="J55" i="18"/>
  <c r="J207" i="18"/>
  <c r="J75" i="18"/>
  <c r="J33" i="18"/>
  <c r="J206" i="18"/>
  <c r="J130" i="18"/>
  <c r="J26" i="18"/>
  <c r="J254" i="18"/>
  <c r="J152" i="18"/>
  <c r="J184" i="18"/>
  <c r="J18" i="18"/>
  <c r="J269" i="18"/>
  <c r="J148" i="18"/>
  <c r="J8" i="18"/>
  <c r="J247" i="18"/>
  <c r="J158" i="18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AI16" i="14"/>
  <c r="AB4" i="14"/>
  <c r="Y8" i="14"/>
  <c r="AB5" i="14"/>
  <c r="Z14" i="14"/>
  <c r="Z17" i="14"/>
  <c r="Y15" i="14"/>
  <c r="Z10" i="14"/>
  <c r="M5" i="14"/>
  <c r="AI8" i="14"/>
  <c r="M3" i="14"/>
  <c r="AN15" i="14"/>
  <c r="AN16" i="14"/>
  <c r="N15" i="14"/>
  <c r="Y12" i="14"/>
  <c r="X4" i="14"/>
  <c r="AI11" i="14"/>
  <c r="AN2" i="14"/>
  <c r="X17" i="14"/>
  <c r="Z16" i="14"/>
  <c r="N6" i="14"/>
  <c r="AI15" i="14"/>
  <c r="AB14" i="14"/>
  <c r="X12" i="14"/>
  <c r="X3" i="14"/>
  <c r="X16" i="14"/>
  <c r="AI4" i="14"/>
  <c r="Y6" i="14"/>
  <c r="N2" i="14"/>
  <c r="M8" i="14"/>
  <c r="AI3" i="14"/>
  <c r="N9" i="14"/>
  <c r="AB15" i="14"/>
  <c r="M7" i="14"/>
  <c r="N14" i="14"/>
  <c r="AI9" i="14"/>
  <c r="AI17" i="14"/>
  <c r="AN8" i="14"/>
  <c r="AI12" i="14"/>
  <c r="M9" i="14"/>
  <c r="AB9" i="14"/>
  <c r="AB3" i="14"/>
  <c r="N13" i="14"/>
  <c r="N8" i="14"/>
  <c r="AB7" i="14"/>
  <c r="AI7" i="14"/>
  <c r="Y2" i="14"/>
  <c r="Z13" i="14"/>
  <c r="AB2" i="14"/>
  <c r="M11" i="14"/>
  <c r="Y13" i="14"/>
  <c r="M6" i="14"/>
  <c r="AN6" i="14"/>
  <c r="AB6" i="14"/>
  <c r="N16" i="14"/>
  <c r="X14" i="14"/>
  <c r="Y10" i="14"/>
  <c r="M14" i="14"/>
  <c r="X9" i="14"/>
  <c r="Y11" i="14"/>
  <c r="AB12" i="14"/>
  <c r="Y14" i="14"/>
  <c r="X7" i="14"/>
  <c r="AB10" i="14"/>
  <c r="X8" i="14"/>
  <c r="AN11" i="14"/>
  <c r="AI6" i="14"/>
  <c r="AN12" i="14"/>
  <c r="N12" i="14"/>
  <c r="AI13" i="14"/>
  <c r="Y17" i="14"/>
  <c r="AN4" i="14"/>
  <c r="M10" i="14"/>
  <c r="Y3" i="14"/>
  <c r="Z4" i="14"/>
  <c r="M17" i="14"/>
  <c r="M16" i="14"/>
  <c r="AB11" i="14"/>
  <c r="AB13" i="14"/>
  <c r="AN7" i="14"/>
  <c r="M12" i="14"/>
  <c r="X2" i="14"/>
  <c r="AI14" i="14"/>
  <c r="Z3" i="14"/>
  <c r="X10" i="14"/>
  <c r="Y5" i="14"/>
  <c r="AN9" i="14"/>
  <c r="Z15" i="14"/>
  <c r="X13" i="14"/>
  <c r="AN3" i="14"/>
  <c r="Y7" i="14"/>
  <c r="AN10" i="14"/>
  <c r="AN14" i="14"/>
  <c r="Z8" i="14"/>
  <c r="M4" i="14"/>
  <c r="AN5" i="14"/>
  <c r="X5" i="14"/>
  <c r="AN17" i="14"/>
  <c r="Y4" i="14"/>
  <c r="N3" i="14"/>
  <c r="M13" i="14"/>
  <c r="Z7" i="14"/>
  <c r="Z11" i="14"/>
  <c r="N11" i="14"/>
  <c r="M2" i="14"/>
  <c r="AN13" i="14"/>
  <c r="Z2" i="14"/>
  <c r="Z12" i="14"/>
  <c r="N17" i="14"/>
  <c r="N4" i="14"/>
  <c r="N10" i="14"/>
  <c r="Z9" i="14"/>
  <c r="X6" i="14"/>
  <c r="Y16" i="14"/>
  <c r="X11" i="14"/>
  <c r="N7" i="14"/>
  <c r="N5" i="14"/>
  <c r="AB8" i="14"/>
  <c r="AB17" i="14"/>
  <c r="AI10" i="14"/>
  <c r="AB16" i="14"/>
  <c r="Y9" i="14"/>
  <c r="AI5" i="14"/>
  <c r="Z6" i="14"/>
  <c r="X15" i="14"/>
  <c r="M15" i="14"/>
  <c r="AI2" i="14"/>
  <c r="Z5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10" i="14"/>
  <c r="AO9" i="14"/>
  <c r="AO13" i="14"/>
  <c r="AO17" i="14"/>
  <c r="AO12" i="14"/>
  <c r="AO7" i="14"/>
  <c r="AO3" i="14"/>
  <c r="AO11" i="14"/>
  <c r="AO14" i="14"/>
  <c r="AO6" i="14"/>
  <c r="AO8" i="14"/>
  <c r="AO16" i="14"/>
  <c r="AO5" i="14"/>
  <c r="AO4" i="14"/>
  <c r="AO15" i="14"/>
  <c r="AO2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X18" i="14"/>
  <c r="Y18" i="14"/>
  <c r="AI19" i="14"/>
  <c r="Z18" i="14"/>
  <c r="AI18" i="14"/>
  <c r="M19" i="14"/>
  <c r="AB19" i="14"/>
  <c r="M18" i="14"/>
  <c r="Y19" i="14"/>
  <c r="Z19" i="14"/>
  <c r="AN18" i="14"/>
  <c r="AN19" i="14"/>
  <c r="AB18" i="14"/>
  <c r="N19" i="14"/>
  <c r="X19" i="14"/>
  <c r="N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9" i="14"/>
  <c r="AO18" i="14"/>
  <c r="R19" i="14" l="1"/>
  <c r="Q19" i="14"/>
  <c r="P19" i="14"/>
  <c r="Q18" i="14"/>
  <c r="R18" i="14"/>
  <c r="P18" i="14"/>
  <c r="A24" i="1"/>
  <c r="N21" i="14" s="1"/>
  <c r="E23" i="1"/>
  <c r="D23" i="1"/>
  <c r="C23" i="1"/>
  <c r="B23" i="1"/>
  <c r="AN20" i="14"/>
  <c r="Y20" i="14"/>
  <c r="Z20" i="14"/>
  <c r="AB20" i="14"/>
  <c r="N20" i="14"/>
  <c r="M20" i="14"/>
  <c r="X20" i="14"/>
  <c r="AI20" i="14"/>
  <c r="O18" i="14" l="1"/>
  <c r="O19" i="14"/>
  <c r="W20" i="14"/>
  <c r="AA20" i="14"/>
  <c r="A25" i="1"/>
  <c r="D24" i="1"/>
  <c r="C24" i="1"/>
  <c r="E24" i="1"/>
  <c r="B24" i="1"/>
  <c r="AI21" i="14"/>
  <c r="Z21" i="14"/>
  <c r="M21" i="14"/>
  <c r="Y21" i="14"/>
  <c r="AN21" i="14"/>
  <c r="AB21" i="14"/>
  <c r="X21" i="14"/>
  <c r="AO20" i="14"/>
  <c r="R20" i="14" l="1"/>
  <c r="Q20" i="14"/>
  <c r="P20" i="14"/>
  <c r="W21" i="14"/>
  <c r="AA21" i="14"/>
  <c r="A26" i="1"/>
  <c r="AI23" i="14" s="1"/>
  <c r="D25" i="1"/>
  <c r="C25" i="1"/>
  <c r="B25" i="1"/>
  <c r="E25" i="1"/>
  <c r="AI22" i="14"/>
  <c r="Y22" i="14"/>
  <c r="X22" i="14"/>
  <c r="AB22" i="14"/>
  <c r="Z22" i="14"/>
  <c r="N22" i="14"/>
  <c r="M22" i="14"/>
  <c r="AO21" i="14"/>
  <c r="AN22" i="14"/>
  <c r="R21" i="14" l="1"/>
  <c r="Q21" i="14"/>
  <c r="P21" i="14"/>
  <c r="W22" i="14"/>
  <c r="O20" i="14"/>
  <c r="AA22" i="14"/>
  <c r="A27" i="1"/>
  <c r="E26" i="1"/>
  <c r="D26" i="1"/>
  <c r="C26" i="1"/>
  <c r="B26" i="1"/>
  <c r="X23" i="14"/>
  <c r="AB23" i="14"/>
  <c r="Z23" i="14"/>
  <c r="AN23" i="14"/>
  <c r="M23" i="14"/>
  <c r="N23" i="14"/>
  <c r="AO22" i="14"/>
  <c r="Y23" i="14"/>
  <c r="O21" i="14" l="1"/>
  <c r="R22" i="14"/>
  <c r="Q22" i="14"/>
  <c r="P22" i="14"/>
  <c r="W23" i="14"/>
  <c r="AA23" i="14"/>
  <c r="A28" i="1"/>
  <c r="B27" i="1"/>
  <c r="C27" i="1"/>
  <c r="E27" i="1"/>
  <c r="D27" i="1"/>
  <c r="Y24" i="14"/>
  <c r="AB24" i="14"/>
  <c r="AO23" i="14"/>
  <c r="AN24" i="14"/>
  <c r="N24" i="14"/>
  <c r="AI24" i="14"/>
  <c r="M24" i="14"/>
  <c r="X24" i="14"/>
  <c r="Z25" i="14"/>
  <c r="Z24" i="14"/>
  <c r="R23" i="14" l="1"/>
  <c r="Q23" i="14"/>
  <c r="P23" i="14"/>
  <c r="AA24" i="14"/>
  <c r="O22" i="14"/>
  <c r="W24" i="14"/>
  <c r="A29" i="1"/>
  <c r="E28" i="1"/>
  <c r="B28" i="1"/>
  <c r="C28" i="1"/>
  <c r="D28" i="1"/>
  <c r="AB25" i="14"/>
  <c r="N25" i="14"/>
  <c r="Y25" i="14"/>
  <c r="M25" i="14"/>
  <c r="AN25" i="14"/>
  <c r="AI25" i="14"/>
  <c r="X25" i="14"/>
  <c r="AO24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AI26" i="14"/>
  <c r="X26" i="14"/>
  <c r="AO25" i="14"/>
  <c r="AN26" i="14"/>
  <c r="AB26" i="14"/>
  <c r="N26" i="14"/>
  <c r="Y26" i="14"/>
  <c r="Z26" i="14"/>
  <c r="M26" i="14"/>
  <c r="N27" i="14"/>
  <c r="Q25" i="14" l="1"/>
  <c r="P25" i="14"/>
  <c r="O24" i="14"/>
  <c r="W26" i="14"/>
  <c r="AA26" i="14"/>
  <c r="A31" i="1"/>
  <c r="E30" i="1"/>
  <c r="B30" i="1"/>
  <c r="C30" i="1"/>
  <c r="D30" i="1"/>
  <c r="M27" i="14"/>
  <c r="AO26" i="14"/>
  <c r="AN27" i="14"/>
  <c r="X27" i="14"/>
  <c r="AB27" i="14"/>
  <c r="AI27" i="14"/>
  <c r="Z27" i="14"/>
  <c r="Y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20" i="1" l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AN330" i="14"/>
  <c r="Z33" i="14"/>
  <c r="AI35" i="14"/>
  <c r="N41" i="14"/>
  <c r="AB135" i="14"/>
  <c r="Z344" i="14"/>
  <c r="AB248" i="14"/>
  <c r="AB262" i="14"/>
  <c r="AN83" i="14"/>
  <c r="Y337" i="14"/>
  <c r="Z28" i="14"/>
  <c r="X256" i="14"/>
  <c r="M223" i="14"/>
  <c r="AB351" i="14"/>
  <c r="AB134" i="14"/>
  <c r="X335" i="14"/>
  <c r="Z272" i="14"/>
  <c r="AI128" i="14"/>
  <c r="N214" i="14"/>
  <c r="Y217" i="14"/>
  <c r="AI357" i="14"/>
  <c r="Y204" i="14"/>
  <c r="AN181" i="14"/>
  <c r="Y278" i="14"/>
  <c r="Y123" i="14"/>
  <c r="M245" i="14"/>
  <c r="N73" i="14"/>
  <c r="Y136" i="14"/>
  <c r="AN178" i="14"/>
  <c r="AI302" i="14"/>
  <c r="Z356" i="14"/>
  <c r="AI149" i="14"/>
  <c r="Y188" i="14"/>
  <c r="Y198" i="14"/>
  <c r="N200" i="14"/>
  <c r="N302" i="14"/>
  <c r="N197" i="14"/>
  <c r="N347" i="14"/>
  <c r="AB332" i="14"/>
  <c r="AB216" i="14"/>
  <c r="Y166" i="14"/>
  <c r="AN187" i="14"/>
  <c r="X241" i="14"/>
  <c r="N148" i="14"/>
  <c r="M83" i="14"/>
  <c r="AB215" i="14"/>
  <c r="AI176" i="14"/>
  <c r="AI44" i="14"/>
  <c r="AN183" i="14"/>
  <c r="Z251" i="14"/>
  <c r="AI261" i="14"/>
  <c r="AB191" i="14"/>
  <c r="Y85" i="14"/>
  <c r="Z189" i="14"/>
  <c r="Y82" i="14"/>
  <c r="M111" i="14"/>
  <c r="AN333" i="14"/>
  <c r="AI170" i="14"/>
  <c r="AI200" i="14"/>
  <c r="X161" i="14"/>
  <c r="AN289" i="14"/>
  <c r="X262" i="14"/>
  <c r="AB303" i="14"/>
  <c r="AB269" i="14"/>
  <c r="AN290" i="14"/>
  <c r="M164" i="14"/>
  <c r="M134" i="14"/>
  <c r="AI148" i="14"/>
  <c r="AN292" i="14"/>
  <c r="M161" i="14"/>
  <c r="AB54" i="14"/>
  <c r="X200" i="14"/>
  <c r="Y79" i="14"/>
  <c r="X92" i="14"/>
  <c r="Y272" i="14"/>
  <c r="AI165" i="14"/>
  <c r="N263" i="14"/>
  <c r="AB185" i="14"/>
  <c r="Y59" i="14"/>
  <c r="X77" i="14"/>
  <c r="N208" i="14"/>
  <c r="M40" i="14"/>
  <c r="Z288" i="14"/>
  <c r="AB84" i="14"/>
  <c r="X53" i="14"/>
  <c r="Y215" i="14"/>
  <c r="M318" i="14"/>
  <c r="N252" i="14"/>
  <c r="Z367" i="14"/>
  <c r="Y47" i="14"/>
  <c r="X273" i="14"/>
  <c r="AI275" i="14"/>
  <c r="N109" i="14"/>
  <c r="AI62" i="14"/>
  <c r="N185" i="14"/>
  <c r="AN124" i="14"/>
  <c r="AI350" i="14"/>
  <c r="N218" i="14"/>
  <c r="X174" i="14"/>
  <c r="M88" i="14"/>
  <c r="Z233" i="14"/>
  <c r="X355" i="14"/>
  <c r="N58" i="14"/>
  <c r="N312" i="14"/>
  <c r="X208" i="14"/>
  <c r="Z197" i="14"/>
  <c r="Y168" i="14"/>
  <c r="AB129" i="14"/>
  <c r="M163" i="14"/>
  <c r="Z264" i="14"/>
  <c r="AI82" i="14"/>
  <c r="Y75" i="14"/>
  <c r="N85" i="14"/>
  <c r="X79" i="14"/>
  <c r="AI63" i="14"/>
  <c r="Z271" i="14"/>
  <c r="X252" i="14"/>
  <c r="Z169" i="14"/>
  <c r="AI203" i="14"/>
  <c r="X364" i="14"/>
  <c r="Y218" i="14"/>
  <c r="AI28" i="14"/>
  <c r="AI230" i="14"/>
  <c r="AN270" i="14"/>
  <c r="AB338" i="14"/>
  <c r="M42" i="14"/>
  <c r="N289" i="14"/>
  <c r="AI279" i="14"/>
  <c r="Z239" i="14"/>
  <c r="AN129" i="14"/>
  <c r="N238" i="14"/>
  <c r="AI142" i="14"/>
  <c r="AI286" i="14"/>
  <c r="AB277" i="14"/>
  <c r="N329" i="14"/>
  <c r="N69" i="14"/>
  <c r="AN235" i="14"/>
  <c r="AI359" i="14"/>
  <c r="Y355" i="14"/>
  <c r="AB245" i="14"/>
  <c r="Z339" i="14"/>
  <c r="N277" i="14"/>
  <c r="X365" i="14"/>
  <c r="AB360" i="14"/>
  <c r="AI304" i="14"/>
  <c r="AB181" i="14"/>
  <c r="AN107" i="14"/>
  <c r="AN216" i="14"/>
  <c r="AB231" i="14"/>
  <c r="X357" i="14"/>
  <c r="AI114" i="14"/>
  <c r="AN162" i="14"/>
  <c r="M157" i="14"/>
  <c r="X311" i="14"/>
  <c r="N319" i="14"/>
  <c r="M116" i="14"/>
  <c r="AB205" i="14"/>
  <c r="M367" i="14"/>
  <c r="X328" i="14"/>
  <c r="AB60" i="14"/>
  <c r="AN357" i="14"/>
  <c r="AB208" i="14"/>
  <c r="M243" i="14"/>
  <c r="AB359" i="14"/>
  <c r="AN320" i="14"/>
  <c r="AN259" i="14"/>
  <c r="M121" i="14"/>
  <c r="AB238" i="14"/>
  <c r="Y327" i="14"/>
  <c r="AN34" i="14"/>
  <c r="Y229" i="14"/>
  <c r="AB320" i="14"/>
  <c r="N123" i="14"/>
  <c r="X206" i="14"/>
  <c r="AB91" i="14"/>
  <c r="M86" i="14"/>
  <c r="AB361" i="14"/>
  <c r="M174" i="14"/>
  <c r="X201" i="14"/>
  <c r="M51" i="14"/>
  <c r="Z299" i="14"/>
  <c r="N178" i="14"/>
  <c r="AB189" i="14"/>
  <c r="X195" i="14"/>
  <c r="Y244" i="14"/>
  <c r="Z268" i="14"/>
  <c r="AB96" i="14"/>
  <c r="AB364" i="14"/>
  <c r="AN175" i="14"/>
  <c r="Y162" i="14"/>
  <c r="M87" i="14"/>
  <c r="Y276" i="14"/>
  <c r="X141" i="14"/>
  <c r="AB281" i="14"/>
  <c r="X61" i="14"/>
  <c r="M132" i="14"/>
  <c r="AB87" i="14"/>
  <c r="N71" i="14"/>
  <c r="AI78" i="14"/>
  <c r="AN42" i="14"/>
  <c r="Y268" i="14"/>
  <c r="Z141" i="14"/>
  <c r="M95" i="14"/>
  <c r="Y221" i="14"/>
  <c r="M331" i="14"/>
  <c r="AI300" i="14"/>
  <c r="AI192" i="14"/>
  <c r="AI266" i="14"/>
  <c r="AN303" i="14"/>
  <c r="AB83" i="14"/>
  <c r="M81" i="14"/>
  <c r="M57" i="14"/>
  <c r="X309" i="14"/>
  <c r="N88" i="14"/>
  <c r="Y54" i="14"/>
  <c r="AB295" i="14"/>
  <c r="N261" i="14"/>
  <c r="AN310" i="14"/>
  <c r="M281" i="14"/>
  <c r="AI52" i="14"/>
  <c r="Z177" i="14"/>
  <c r="AI102" i="14"/>
  <c r="AI110" i="14"/>
  <c r="AB51" i="14"/>
  <c r="AI368" i="14"/>
  <c r="N176" i="14"/>
  <c r="AN327" i="14"/>
  <c r="M44" i="14"/>
  <c r="X358" i="14"/>
  <c r="AI66" i="14"/>
  <c r="X168" i="14"/>
  <c r="Y92" i="14"/>
  <c r="Y266" i="14"/>
  <c r="AB33" i="14"/>
  <c r="AI282" i="14"/>
  <c r="Z274" i="14"/>
  <c r="X152" i="14"/>
  <c r="AB31" i="14"/>
  <c r="AI80" i="14"/>
  <c r="AN69" i="14"/>
  <c r="M333" i="14"/>
  <c r="AB45" i="14"/>
  <c r="AB276" i="14"/>
  <c r="M151" i="14"/>
  <c r="M335" i="14"/>
  <c r="AI54" i="14"/>
  <c r="AB266" i="14"/>
  <c r="AN219" i="14"/>
  <c r="N242" i="14"/>
  <c r="AI197" i="14"/>
  <c r="Y29" i="14"/>
  <c r="Y149" i="14"/>
  <c r="AI276" i="14"/>
  <c r="Y199" i="14"/>
  <c r="X288" i="14"/>
  <c r="AB108" i="14"/>
  <c r="N299" i="14"/>
  <c r="Z351" i="14"/>
  <c r="M285" i="14"/>
  <c r="Z331" i="14"/>
  <c r="Y157" i="14"/>
  <c r="X107" i="14"/>
  <c r="AN341" i="14"/>
  <c r="AI245" i="14"/>
  <c r="Y68" i="14"/>
  <c r="AI343" i="14"/>
  <c r="AB98" i="14"/>
  <c r="X165" i="14"/>
  <c r="N99" i="14"/>
  <c r="M130" i="14"/>
  <c r="Y195" i="14"/>
  <c r="AB79" i="14"/>
  <c r="AN64" i="14"/>
  <c r="AB314" i="14"/>
  <c r="Z327" i="14"/>
  <c r="Z281" i="14"/>
  <c r="X271" i="14"/>
  <c r="AI364" i="14"/>
  <c r="AN280" i="14"/>
  <c r="AN127" i="14"/>
  <c r="AB273" i="14"/>
  <c r="AI60" i="14"/>
  <c r="X325" i="14"/>
  <c r="AB40" i="14"/>
  <c r="X302" i="14"/>
  <c r="Z244" i="14"/>
  <c r="Y307" i="14"/>
  <c r="M214" i="14"/>
  <c r="AB140" i="14"/>
  <c r="AB76" i="14"/>
  <c r="AN358" i="14"/>
  <c r="N198" i="14"/>
  <c r="AI216" i="14"/>
  <c r="N82" i="14"/>
  <c r="X134" i="14"/>
  <c r="M124" i="14"/>
  <c r="Z87" i="14"/>
  <c r="AB88" i="14"/>
  <c r="AI246" i="14"/>
  <c r="AB125" i="14"/>
  <c r="AB157" i="14"/>
  <c r="AI91" i="14"/>
  <c r="AI155" i="14"/>
  <c r="AI156" i="14"/>
  <c r="AN80" i="14"/>
  <c r="Z60" i="14"/>
  <c r="M74" i="14"/>
  <c r="Y351" i="14"/>
  <c r="AB117" i="14"/>
  <c r="Z365" i="14"/>
  <c r="N283" i="14"/>
  <c r="AI108" i="14"/>
  <c r="AB159" i="14"/>
  <c r="Y202" i="14"/>
  <c r="Z62" i="14"/>
  <c r="M286" i="14"/>
  <c r="AB97" i="14"/>
  <c r="Z287" i="14"/>
  <c r="AB55" i="14"/>
  <c r="AB184" i="14"/>
  <c r="Z91" i="14"/>
  <c r="AB230" i="14"/>
  <c r="Z348" i="14"/>
  <c r="X85" i="14"/>
  <c r="N142" i="14"/>
  <c r="X150" i="14"/>
  <c r="M250" i="14"/>
  <c r="Z129" i="14"/>
  <c r="X109" i="14"/>
  <c r="N369" i="14"/>
  <c r="N66" i="14"/>
  <c r="N96" i="14"/>
  <c r="M357" i="14"/>
  <c r="Y186" i="14"/>
  <c r="X216" i="14"/>
  <c r="X65" i="14"/>
  <c r="AN229" i="14"/>
  <c r="Z333" i="14"/>
  <c r="M217" i="14"/>
  <c r="Z362" i="14"/>
  <c r="Z318" i="14"/>
  <c r="N126" i="14"/>
  <c r="AI194" i="14"/>
  <c r="Z322" i="14"/>
  <c r="AI320" i="14"/>
  <c r="AB156" i="14"/>
  <c r="Z338" i="14"/>
  <c r="Z349" i="14"/>
  <c r="M297" i="14"/>
  <c r="AI326" i="14"/>
  <c r="AB293" i="14"/>
  <c r="Y210" i="14"/>
  <c r="X210" i="14"/>
  <c r="M48" i="14"/>
  <c r="Z267" i="14"/>
  <c r="M89" i="14"/>
  <c r="M275" i="14"/>
  <c r="X177" i="14"/>
  <c r="Y228" i="14"/>
  <c r="AI328" i="14"/>
  <c r="X218" i="14"/>
  <c r="M225" i="14"/>
  <c r="N199" i="14"/>
  <c r="AI346" i="14"/>
  <c r="M241" i="14"/>
  <c r="N60" i="14"/>
  <c r="AN128" i="14"/>
  <c r="X86" i="14"/>
  <c r="AN242" i="14"/>
  <c r="AI65" i="14"/>
  <c r="Z65" i="14"/>
  <c r="M104" i="14"/>
  <c r="X170" i="14"/>
  <c r="M148" i="14"/>
  <c r="Y164" i="14"/>
  <c r="AI327" i="14"/>
  <c r="N265" i="14"/>
  <c r="N233" i="14"/>
  <c r="Z150" i="14"/>
  <c r="M282" i="14"/>
  <c r="AN121" i="14"/>
  <c r="AB275" i="14"/>
  <c r="AN82" i="14"/>
  <c r="Y299" i="14"/>
  <c r="X138" i="14"/>
  <c r="AB39" i="14"/>
  <c r="Z160" i="14"/>
  <c r="AB187" i="14"/>
  <c r="Z320" i="14"/>
  <c r="AI366" i="14"/>
  <c r="AB323" i="14"/>
  <c r="AB250" i="14"/>
  <c r="AB212" i="14"/>
  <c r="AB144" i="14"/>
  <c r="Y141" i="14"/>
  <c r="Z220" i="14"/>
  <c r="N324" i="14"/>
  <c r="X67" i="14"/>
  <c r="AB163" i="14"/>
  <c r="M144" i="14"/>
  <c r="Z315" i="14"/>
  <c r="AB67" i="14"/>
  <c r="N184" i="14"/>
  <c r="N181" i="14"/>
  <c r="AI107" i="14"/>
  <c r="AI98" i="14"/>
  <c r="M219" i="14"/>
  <c r="N75" i="14"/>
  <c r="Y279" i="14"/>
  <c r="AB305" i="14"/>
  <c r="AN86" i="14"/>
  <c r="M336" i="14"/>
  <c r="M273" i="14"/>
  <c r="Y214" i="14"/>
  <c r="Y184" i="14"/>
  <c r="AB217" i="14"/>
  <c r="Z140" i="14"/>
  <c r="AI322" i="14"/>
  <c r="Y45" i="14"/>
  <c r="M119" i="14"/>
  <c r="AI330" i="14"/>
  <c r="Y313" i="14"/>
  <c r="M200" i="14"/>
  <c r="Z282" i="14"/>
  <c r="X30" i="14"/>
  <c r="AI349" i="14"/>
  <c r="Z127" i="14"/>
  <c r="N79" i="14"/>
  <c r="N290" i="14"/>
  <c r="AN316" i="14"/>
  <c r="Y342" i="14"/>
  <c r="AB350" i="14"/>
  <c r="AN300" i="14"/>
  <c r="M125" i="14"/>
  <c r="AN244" i="14"/>
  <c r="AI252" i="14"/>
  <c r="X332" i="14"/>
  <c r="N62" i="14"/>
  <c r="X254" i="14"/>
  <c r="AB278" i="14"/>
  <c r="Z240" i="14"/>
  <c r="AI79" i="14"/>
  <c r="X136" i="14"/>
  <c r="AN328" i="14"/>
  <c r="M301" i="14"/>
  <c r="X31" i="14"/>
  <c r="N186" i="14"/>
  <c r="AI90" i="14"/>
  <c r="N342" i="14"/>
  <c r="N309" i="14"/>
  <c r="X183" i="14"/>
  <c r="M65" i="14"/>
  <c r="Y359" i="14"/>
  <c r="Z142" i="14"/>
  <c r="Z172" i="14"/>
  <c r="X172" i="14"/>
  <c r="Y201" i="14"/>
  <c r="Z99" i="14"/>
  <c r="AN43" i="14"/>
  <c r="Y219" i="14"/>
  <c r="X100" i="14"/>
  <c r="AI290" i="14"/>
  <c r="N336" i="14"/>
  <c r="N362" i="14"/>
  <c r="AN56" i="14"/>
  <c r="AN323" i="14"/>
  <c r="AI93" i="14"/>
  <c r="N179" i="14"/>
  <c r="AN75" i="14"/>
  <c r="X203" i="14"/>
  <c r="X178" i="14"/>
  <c r="M41" i="14"/>
  <c r="M346" i="14"/>
  <c r="M341" i="14"/>
  <c r="Y51" i="14"/>
  <c r="AI193" i="14"/>
  <c r="Y146" i="14"/>
  <c r="Z205" i="14"/>
  <c r="AI319" i="14"/>
  <c r="M45" i="14"/>
  <c r="AB261" i="14"/>
  <c r="Y261" i="14"/>
  <c r="N332" i="14"/>
  <c r="AI89" i="14"/>
  <c r="AB354" i="14"/>
  <c r="M302" i="14"/>
  <c r="X39" i="14"/>
  <c r="M248" i="14"/>
  <c r="AN274" i="14"/>
  <c r="Z307" i="14"/>
  <c r="AI53" i="14"/>
  <c r="AB78" i="14"/>
  <c r="Z213" i="14"/>
  <c r="AN348" i="14"/>
  <c r="AB63" i="14"/>
  <c r="N59" i="14"/>
  <c r="Y76" i="14"/>
  <c r="N162" i="14"/>
  <c r="M216" i="14"/>
  <c r="X140" i="14"/>
  <c r="AI280" i="14"/>
  <c r="Y114" i="14"/>
  <c r="Y267" i="14"/>
  <c r="Z254" i="14"/>
  <c r="X93" i="14"/>
  <c r="Z202" i="14"/>
  <c r="X148" i="14"/>
  <c r="AB195" i="14"/>
  <c r="X329" i="14"/>
  <c r="N130" i="14"/>
  <c r="AB133" i="14"/>
  <c r="N28" i="14"/>
  <c r="AI144" i="14"/>
  <c r="N77" i="14"/>
  <c r="Z321" i="14"/>
  <c r="Y288" i="14"/>
  <c r="N57" i="14"/>
  <c r="Z221" i="14"/>
  <c r="N366" i="14"/>
  <c r="AI258" i="14"/>
  <c r="Y192" i="14"/>
  <c r="N298" i="14"/>
  <c r="AB188" i="14"/>
  <c r="Y32" i="14"/>
  <c r="AB155" i="14"/>
  <c r="X204" i="14"/>
  <c r="Z82" i="14"/>
  <c r="AI291" i="14"/>
  <c r="AB74" i="14"/>
  <c r="AB206" i="14"/>
  <c r="X81" i="14"/>
  <c r="N175" i="14"/>
  <c r="Y88" i="14"/>
  <c r="X294" i="14"/>
  <c r="X187" i="14"/>
  <c r="Y77" i="14"/>
  <c r="X133" i="14"/>
  <c r="N90" i="14"/>
  <c r="Z359" i="14"/>
  <c r="N131" i="14"/>
  <c r="M310" i="14"/>
  <c r="M240" i="14"/>
  <c r="Y274" i="14"/>
  <c r="N348" i="14"/>
  <c r="N74" i="14"/>
  <c r="N280" i="14"/>
  <c r="Z302" i="14"/>
  <c r="M213" i="14"/>
  <c r="N365" i="14"/>
  <c r="AI213" i="14"/>
  <c r="Y200" i="14"/>
  <c r="AI270" i="14"/>
  <c r="M235" i="14"/>
  <c r="AB302" i="14"/>
  <c r="Z364" i="14"/>
  <c r="N262" i="14"/>
  <c r="M327" i="14"/>
  <c r="M228" i="14"/>
  <c r="Y260" i="14"/>
  <c r="AB203" i="14"/>
  <c r="AI239" i="14"/>
  <c r="N368" i="14"/>
  <c r="Y154" i="14"/>
  <c r="AB228" i="14"/>
  <c r="X118" i="14"/>
  <c r="X213" i="14"/>
  <c r="AN215" i="14"/>
  <c r="N194" i="14"/>
  <c r="AB221" i="14"/>
  <c r="AI30" i="14"/>
  <c r="AI56" i="14"/>
  <c r="X228" i="14"/>
  <c r="AB160" i="14"/>
  <c r="AB154" i="14"/>
  <c r="N293" i="14"/>
  <c r="X151" i="14"/>
  <c r="Y334" i="14"/>
  <c r="AI189" i="14"/>
  <c r="Z278" i="14"/>
  <c r="Z223" i="14"/>
  <c r="AB366" i="14"/>
  <c r="AN336" i="14"/>
  <c r="M317" i="14"/>
  <c r="M149" i="14"/>
  <c r="X331" i="14"/>
  <c r="X243" i="14"/>
  <c r="AN255" i="14"/>
  <c r="AI250" i="14"/>
  <c r="AN57" i="14"/>
  <c r="AN329" i="14"/>
  <c r="AI171" i="14"/>
  <c r="AB213" i="14"/>
  <c r="N105" i="14"/>
  <c r="Z300" i="14"/>
  <c r="N230" i="14"/>
  <c r="X214" i="14"/>
  <c r="N318" i="14"/>
  <c r="AN234" i="14"/>
  <c r="X35" i="14"/>
  <c r="Z231" i="14"/>
  <c r="AB92" i="14"/>
  <c r="Z234" i="14"/>
  <c r="Z276" i="14"/>
  <c r="AI147" i="14"/>
  <c r="AI338" i="14"/>
  <c r="AB174" i="14"/>
  <c r="AB229" i="14"/>
  <c r="N189" i="14"/>
  <c r="X310" i="14"/>
  <c r="N70" i="14"/>
  <c r="AI332" i="14"/>
  <c r="Y248" i="14"/>
  <c r="Z46" i="14"/>
  <c r="N212" i="14"/>
  <c r="AB73" i="14"/>
  <c r="AI355" i="14"/>
  <c r="AN119" i="14"/>
  <c r="Z353" i="14"/>
  <c r="Z121" i="14"/>
  <c r="AI111" i="14"/>
  <c r="Z247" i="14"/>
  <c r="AB294" i="14"/>
  <c r="AN265" i="14"/>
  <c r="X135" i="14"/>
  <c r="M272" i="14"/>
  <c r="N305" i="14"/>
  <c r="Z248" i="14"/>
  <c r="AN41" i="14"/>
  <c r="M311" i="14"/>
  <c r="AN148" i="14"/>
  <c r="AB28" i="14"/>
  <c r="N338" i="14"/>
  <c r="AI151" i="14"/>
  <c r="AN261" i="14"/>
  <c r="Y113" i="14"/>
  <c r="Y117" i="14"/>
  <c r="AI334" i="14"/>
  <c r="X78" i="14"/>
  <c r="M133" i="14"/>
  <c r="Z190" i="14"/>
  <c r="M102" i="14"/>
  <c r="N134" i="14"/>
  <c r="AI209" i="14"/>
  <c r="AB368" i="14"/>
  <c r="Y147" i="14"/>
  <c r="Z45" i="14"/>
  <c r="Z306" i="14"/>
  <c r="AI363" i="14"/>
  <c r="X68" i="14"/>
  <c r="Y71" i="14"/>
  <c r="AI219" i="14"/>
  <c r="X238" i="14"/>
  <c r="AB131" i="14"/>
  <c r="AI178" i="14"/>
  <c r="AN335" i="14"/>
  <c r="X352" i="14"/>
  <c r="X73" i="14"/>
  <c r="N266" i="14"/>
  <c r="AI81" i="14"/>
  <c r="Z204" i="14"/>
  <c r="AN114" i="14"/>
  <c r="AB58" i="14"/>
  <c r="AB202" i="14"/>
  <c r="AI34" i="14"/>
  <c r="N201" i="14"/>
  <c r="AI112" i="14"/>
  <c r="Z153" i="14"/>
  <c r="Z49" i="14"/>
  <c r="AN120" i="14"/>
  <c r="X66" i="14"/>
  <c r="N128" i="14"/>
  <c r="AI316" i="14"/>
  <c r="N172" i="14"/>
  <c r="Y360" i="14"/>
  <c r="AN363" i="14"/>
  <c r="X247" i="14"/>
  <c r="Z312" i="14"/>
  <c r="AB339" i="14"/>
  <c r="AI215" i="14"/>
  <c r="N301" i="14"/>
  <c r="AB171" i="14"/>
  <c r="X171" i="14"/>
  <c r="X145" i="14"/>
  <c r="Z193" i="14"/>
  <c r="AI205" i="14"/>
  <c r="AI358" i="14"/>
  <c r="Z124" i="14"/>
  <c r="AI232" i="14"/>
  <c r="N308" i="14"/>
  <c r="M94" i="14"/>
  <c r="Z149" i="14"/>
  <c r="Z92" i="14"/>
  <c r="M141" i="14"/>
  <c r="X333" i="14"/>
  <c r="AN185" i="14"/>
  <c r="AN44" i="14"/>
  <c r="AI265" i="14"/>
  <c r="AB207" i="14"/>
  <c r="Y295" i="14"/>
  <c r="AN197" i="14"/>
  <c r="AB263" i="14"/>
  <c r="AN104" i="14"/>
  <c r="AB274" i="14"/>
  <c r="Y343" i="14"/>
  <c r="AN139" i="14"/>
  <c r="AB147" i="14"/>
  <c r="AN89" i="14"/>
  <c r="AN186" i="14"/>
  <c r="Z250" i="14"/>
  <c r="AI136" i="14"/>
  <c r="Y178" i="14"/>
  <c r="AN355" i="14"/>
  <c r="M361" i="14"/>
  <c r="N335" i="14"/>
  <c r="AN321" i="14"/>
  <c r="M154" i="14"/>
  <c r="AN179" i="14"/>
  <c r="AN154" i="14"/>
  <c r="AB244" i="14"/>
  <c r="Y60" i="14"/>
  <c r="Z183" i="14"/>
  <c r="Y148" i="14"/>
  <c r="N53" i="14"/>
  <c r="Z105" i="14"/>
  <c r="Z336" i="14"/>
  <c r="X94" i="14"/>
  <c r="Y101" i="14"/>
  <c r="N35" i="14"/>
  <c r="X193" i="14"/>
  <c r="AN276" i="14"/>
  <c r="N259" i="14"/>
  <c r="N300" i="14"/>
  <c r="Z368" i="14"/>
  <c r="X280" i="14"/>
  <c r="AB99" i="14"/>
  <c r="Z241" i="14"/>
  <c r="Y365" i="14"/>
  <c r="Y65" i="14"/>
  <c r="X268" i="14"/>
  <c r="N91" i="14"/>
  <c r="AB325" i="14"/>
  <c r="X277" i="14"/>
  <c r="AI191" i="14"/>
  <c r="Z207" i="14"/>
  <c r="Z104" i="14"/>
  <c r="Y50" i="14"/>
  <c r="Z298" i="14"/>
  <c r="N322" i="14"/>
  <c r="AB356" i="14"/>
  <c r="M196" i="14"/>
  <c r="AB214" i="14"/>
  <c r="AN92" i="14"/>
  <c r="X36" i="14"/>
  <c r="N297" i="14"/>
  <c r="AB235" i="14"/>
  <c r="Y211" i="14"/>
  <c r="AN317" i="14"/>
  <c r="AI234" i="14"/>
  <c r="X127" i="14"/>
  <c r="AI119" i="14"/>
  <c r="AN78" i="14"/>
  <c r="AI249" i="14"/>
  <c r="AI337" i="14"/>
  <c r="Y328" i="14"/>
  <c r="AN112" i="14"/>
  <c r="Z144" i="14"/>
  <c r="Z214" i="14"/>
  <c r="M362" i="14"/>
  <c r="AB199" i="14"/>
  <c r="N254" i="14"/>
  <c r="M350" i="14"/>
  <c r="Y173" i="14"/>
  <c r="M324" i="14"/>
  <c r="X338" i="14"/>
  <c r="AI208" i="14"/>
  <c r="N325" i="14"/>
  <c r="X38" i="14"/>
  <c r="Y252" i="14"/>
  <c r="Y130" i="14"/>
  <c r="X96" i="14"/>
  <c r="AN232" i="14"/>
  <c r="X196" i="14"/>
  <c r="AI323" i="14"/>
  <c r="X185" i="14"/>
  <c r="AI137" i="14"/>
  <c r="AN275" i="14"/>
  <c r="X339" i="14"/>
  <c r="M321" i="14"/>
  <c r="Z112" i="14"/>
  <c r="AI237" i="14"/>
  <c r="Y107" i="14"/>
  <c r="N314" i="14"/>
  <c r="AN73" i="14"/>
  <c r="AN279" i="14"/>
  <c r="N37" i="14"/>
  <c r="X122" i="14"/>
  <c r="Y367" i="14"/>
  <c r="X49" i="14"/>
  <c r="AB172" i="14"/>
  <c r="Y179" i="14"/>
  <c r="M107" i="14"/>
  <c r="AI360" i="14"/>
  <c r="AN277" i="14"/>
  <c r="AI229" i="14"/>
  <c r="AI214" i="14"/>
  <c r="AB369" i="14"/>
  <c r="Z98" i="14"/>
  <c r="M58" i="14"/>
  <c r="AI186" i="14"/>
  <c r="M30" i="14"/>
  <c r="M287" i="14"/>
  <c r="Z48" i="14"/>
  <c r="AI133" i="14"/>
  <c r="AN142" i="14"/>
  <c r="AN39" i="14"/>
  <c r="N257" i="14"/>
  <c r="AN164" i="14"/>
  <c r="N89" i="14"/>
  <c r="AB150" i="14"/>
  <c r="Z347" i="14"/>
  <c r="AN245" i="14"/>
  <c r="M309" i="14"/>
  <c r="N188" i="14"/>
  <c r="Z187" i="14"/>
  <c r="N217" i="14"/>
  <c r="M290" i="14"/>
  <c r="M197" i="14"/>
  <c r="AN201" i="14"/>
  <c r="X45" i="14"/>
  <c r="N351" i="14"/>
  <c r="Y294" i="14"/>
  <c r="Z50" i="14"/>
  <c r="AN81" i="14"/>
  <c r="Z341" i="14"/>
  <c r="AN136" i="14"/>
  <c r="N54" i="14"/>
  <c r="Y31" i="14"/>
  <c r="N45" i="14"/>
  <c r="Y205" i="14"/>
  <c r="AB367" i="14"/>
  <c r="M315" i="14"/>
  <c r="Y345" i="14"/>
  <c r="Z261" i="14"/>
  <c r="AI121" i="14"/>
  <c r="Z252" i="14"/>
  <c r="AB227" i="14"/>
  <c r="AN344" i="14"/>
  <c r="Z301" i="14"/>
  <c r="Y33" i="14"/>
  <c r="X179" i="14"/>
  <c r="N124" i="14"/>
  <c r="Z360" i="14"/>
  <c r="M263" i="14"/>
  <c r="Y358" i="14"/>
  <c r="M276" i="14"/>
  <c r="AB301" i="14"/>
  <c r="AN155" i="14"/>
  <c r="N223" i="14"/>
  <c r="M274" i="14"/>
  <c r="Y182" i="14"/>
  <c r="AB296" i="14"/>
  <c r="Y350" i="14"/>
  <c r="AI140" i="14"/>
  <c r="Y298" i="14"/>
  <c r="AN125" i="14"/>
  <c r="AI141" i="14"/>
  <c r="Y339" i="14"/>
  <c r="N154" i="14"/>
  <c r="M238" i="14"/>
  <c r="AN48" i="14"/>
  <c r="M307" i="14"/>
  <c r="AI274" i="14"/>
  <c r="AB268" i="14"/>
  <c r="N253" i="14"/>
  <c r="Y222" i="14"/>
  <c r="Z162" i="14"/>
  <c r="N32" i="14"/>
  <c r="AB130" i="14"/>
  <c r="Y213" i="14"/>
  <c r="M186" i="14"/>
  <c r="X70" i="14"/>
  <c r="Z294" i="14"/>
  <c r="AI347" i="14"/>
  <c r="M326" i="14"/>
  <c r="AB343" i="14"/>
  <c r="Z95" i="14"/>
  <c r="Y320" i="14"/>
  <c r="N72" i="14"/>
  <c r="X59" i="14"/>
  <c r="M201" i="14"/>
  <c r="M79" i="14"/>
  <c r="M304" i="14"/>
  <c r="X293" i="14"/>
  <c r="Z132" i="14"/>
  <c r="AN334" i="14"/>
  <c r="AB197" i="14"/>
  <c r="M31" i="14"/>
  <c r="AB119" i="14"/>
  <c r="Z275" i="14"/>
  <c r="AN88" i="14"/>
  <c r="AB355" i="14"/>
  <c r="N360" i="14"/>
  <c r="N333" i="14"/>
  <c r="AN266" i="14"/>
  <c r="X320" i="14"/>
  <c r="AI49" i="14"/>
  <c r="AN278" i="14"/>
  <c r="Y207" i="14"/>
  <c r="M328" i="14"/>
  <c r="N119" i="14"/>
  <c r="N33" i="14"/>
  <c r="AI68" i="14"/>
  <c r="Z83" i="14"/>
  <c r="AB153" i="14"/>
  <c r="M254" i="14"/>
  <c r="AN55" i="14"/>
  <c r="Z151" i="14"/>
  <c r="Y361" i="14"/>
  <c r="AN36" i="14"/>
  <c r="Z286" i="14"/>
  <c r="Z96" i="14"/>
  <c r="X303" i="14"/>
  <c r="N151" i="14"/>
  <c r="X279" i="14"/>
  <c r="AN346" i="14"/>
  <c r="AN163" i="14"/>
  <c r="M179" i="14"/>
  <c r="X251" i="14"/>
  <c r="N110" i="14"/>
  <c r="X184" i="14"/>
  <c r="Y232" i="14"/>
  <c r="AB200" i="14"/>
  <c r="Z195" i="14"/>
  <c r="AN99" i="14"/>
  <c r="AB35" i="14"/>
  <c r="Z311" i="14"/>
  <c r="AI257" i="14"/>
  <c r="X149" i="14"/>
  <c r="Z79" i="14"/>
  <c r="N222" i="14"/>
  <c r="AI301" i="14"/>
  <c r="AN315" i="14"/>
  <c r="AB34" i="14"/>
  <c r="Z77" i="14"/>
  <c r="N343" i="14"/>
  <c r="AB193" i="14"/>
  <c r="Y369" i="14"/>
  <c r="Y258" i="14"/>
  <c r="AB331" i="14"/>
  <c r="AB47" i="14"/>
  <c r="X124" i="14"/>
  <c r="X97" i="14"/>
  <c r="AI271" i="14"/>
  <c r="N232" i="14"/>
  <c r="Y353" i="14"/>
  <c r="Z175" i="14"/>
  <c r="Z148" i="14"/>
  <c r="AI238" i="14"/>
  <c r="N44" i="14"/>
  <c r="AI199" i="14"/>
  <c r="AB66" i="14"/>
  <c r="N174" i="14"/>
  <c r="N221" i="14"/>
  <c r="N210" i="14"/>
  <c r="N220" i="14"/>
  <c r="X169" i="14"/>
  <c r="X164" i="14"/>
  <c r="M288" i="14"/>
  <c r="M279" i="14"/>
  <c r="Z51" i="14"/>
  <c r="Y151" i="14"/>
  <c r="Z101" i="14"/>
  <c r="AB29" i="14"/>
  <c r="AI331" i="14"/>
  <c r="M127" i="14"/>
  <c r="AI47" i="14"/>
  <c r="N132" i="14"/>
  <c r="Z108" i="14"/>
  <c r="AI125" i="14"/>
  <c r="Z168" i="14"/>
  <c r="Z93" i="14"/>
  <c r="N320" i="14"/>
  <c r="AB252" i="14"/>
  <c r="AI115" i="14"/>
  <c r="Z249" i="14"/>
  <c r="X215" i="14"/>
  <c r="AN281" i="14"/>
  <c r="AB85" i="14"/>
  <c r="Z273" i="14"/>
  <c r="Y69" i="14"/>
  <c r="N193" i="14"/>
  <c r="M344" i="14"/>
  <c r="Z158" i="14"/>
  <c r="Z41" i="14"/>
  <c r="M120" i="14"/>
  <c r="AN293" i="14"/>
  <c r="M360" i="14"/>
  <c r="M303" i="14"/>
  <c r="N127" i="14"/>
  <c r="M289" i="14"/>
  <c r="N363" i="14"/>
  <c r="AB223" i="14"/>
  <c r="Z343" i="14"/>
  <c r="AB346" i="14"/>
  <c r="AN345" i="14"/>
  <c r="AN174" i="14"/>
  <c r="Z64" i="14"/>
  <c r="Z229" i="14"/>
  <c r="AB271" i="14"/>
  <c r="AN170" i="14"/>
  <c r="AB209" i="14"/>
  <c r="N211" i="14"/>
  <c r="Y233" i="14"/>
  <c r="Z224" i="14"/>
  <c r="AI86" i="14"/>
  <c r="N149" i="14"/>
  <c r="M114" i="14"/>
  <c r="Z363" i="14"/>
  <c r="AI126" i="14"/>
  <c r="M50" i="14"/>
  <c r="Y225" i="14"/>
  <c r="AI109" i="14"/>
  <c r="M278" i="14"/>
  <c r="X139" i="14"/>
  <c r="Y153" i="14"/>
  <c r="X110" i="14"/>
  <c r="Z228" i="14"/>
  <c r="Z134" i="14"/>
  <c r="Z72" i="14"/>
  <c r="N295" i="14"/>
  <c r="X263" i="14"/>
  <c r="AB127" i="14"/>
  <c r="N287" i="14"/>
  <c r="AB166" i="14"/>
  <c r="X283" i="14"/>
  <c r="X102" i="14"/>
  <c r="X248" i="14"/>
  <c r="AN367" i="14"/>
  <c r="Z165" i="14"/>
  <c r="Y161" i="14"/>
  <c r="AI365" i="14"/>
  <c r="N76" i="14"/>
  <c r="AI118" i="14"/>
  <c r="Y169" i="14"/>
  <c r="AB353" i="14"/>
  <c r="X217" i="14"/>
  <c r="Z203" i="14"/>
  <c r="N141" i="14"/>
  <c r="Y98" i="14"/>
  <c r="M90" i="14"/>
  <c r="AI248" i="14"/>
  <c r="AI207" i="14"/>
  <c r="X240" i="14"/>
  <c r="N112" i="14"/>
  <c r="AN189" i="14"/>
  <c r="Y356" i="14"/>
  <c r="Z69" i="14"/>
  <c r="Y292" i="14"/>
  <c r="Z100" i="14"/>
  <c r="AB344" i="14"/>
  <c r="AI340" i="14"/>
  <c r="Y203" i="14"/>
  <c r="N51" i="14"/>
  <c r="X40" i="14"/>
  <c r="AI263" i="14"/>
  <c r="N306" i="14"/>
  <c r="Z126" i="14"/>
  <c r="AN32" i="14"/>
  <c r="Z354" i="14"/>
  <c r="Z29" i="14"/>
  <c r="X180" i="14"/>
  <c r="N153" i="14"/>
  <c r="AN29" i="14"/>
  <c r="M178" i="14"/>
  <c r="AI311" i="14"/>
  <c r="X314" i="14"/>
  <c r="AB341" i="14"/>
  <c r="N171" i="14"/>
  <c r="AI168" i="14"/>
  <c r="X299" i="14"/>
  <c r="AN59" i="14"/>
  <c r="AN60" i="14"/>
  <c r="Y354" i="14"/>
  <c r="AI255" i="14"/>
  <c r="AN180" i="14"/>
  <c r="X146" i="14"/>
  <c r="Y129" i="14"/>
  <c r="AB42" i="14"/>
  <c r="N315" i="14"/>
  <c r="Y66" i="14"/>
  <c r="M78" i="14"/>
  <c r="AI72" i="14"/>
  <c r="AI228" i="14"/>
  <c r="AB308" i="14"/>
  <c r="AB307" i="14"/>
  <c r="AI294" i="14"/>
  <c r="AB196" i="14"/>
  <c r="AI184" i="14"/>
  <c r="AN207" i="14"/>
  <c r="Y368" i="14"/>
  <c r="Y125" i="14"/>
  <c r="Z211" i="14"/>
  <c r="AI315" i="14"/>
  <c r="AN117" i="14"/>
  <c r="N143" i="14"/>
  <c r="Y319" i="14"/>
  <c r="AI167" i="14"/>
  <c r="AN31" i="14"/>
  <c r="AI43" i="14"/>
  <c r="AN288" i="14"/>
  <c r="N227" i="14"/>
  <c r="Y329" i="14"/>
  <c r="AB237" i="14"/>
  <c r="AB80" i="14"/>
  <c r="N349" i="14"/>
  <c r="AN40" i="14"/>
  <c r="AI202" i="14"/>
  <c r="AB260" i="14"/>
  <c r="AI251" i="14"/>
  <c r="Z259" i="14"/>
  <c r="M184" i="14"/>
  <c r="X186" i="14"/>
  <c r="AB116" i="14"/>
  <c r="N31" i="14"/>
  <c r="Y86" i="14"/>
  <c r="M61" i="14"/>
  <c r="AB312" i="14"/>
  <c r="Z130" i="14"/>
  <c r="M271" i="14"/>
  <c r="M176" i="14"/>
  <c r="N229" i="14"/>
  <c r="M259" i="14"/>
  <c r="AI32" i="14"/>
  <c r="AI41" i="14"/>
  <c r="X41" i="14"/>
  <c r="Y55" i="14"/>
  <c r="AI146" i="14"/>
  <c r="Z120" i="14"/>
  <c r="X269" i="14"/>
  <c r="Y118" i="14"/>
  <c r="Z156" i="14"/>
  <c r="Y347" i="14"/>
  <c r="Z55" i="14"/>
  <c r="N204" i="14"/>
  <c r="AB32" i="14"/>
  <c r="AN133" i="14"/>
  <c r="Z76" i="14"/>
  <c r="Z161" i="14"/>
  <c r="AB86" i="14"/>
  <c r="N272" i="14"/>
  <c r="Y121" i="14"/>
  <c r="N353" i="14"/>
  <c r="M185" i="14"/>
  <c r="AN182" i="14"/>
  <c r="Z163" i="14"/>
  <c r="AN137" i="14"/>
  <c r="X342" i="14"/>
  <c r="AB72" i="14"/>
  <c r="AB62" i="14"/>
  <c r="Z304" i="14"/>
  <c r="N46" i="14"/>
  <c r="M170" i="14"/>
  <c r="N114" i="14"/>
  <c r="Z70" i="14"/>
  <c r="Y330" i="14"/>
  <c r="N64" i="14"/>
  <c r="M270" i="14"/>
  <c r="X129" i="14"/>
  <c r="AN28" i="14"/>
  <c r="M43" i="14"/>
  <c r="M203" i="14"/>
  <c r="M284" i="14"/>
  <c r="X323" i="14"/>
  <c r="Y226" i="14"/>
  <c r="N165" i="14"/>
  <c r="AB259" i="14"/>
  <c r="Y131" i="14"/>
  <c r="AN212" i="14"/>
  <c r="AI145" i="14"/>
  <c r="AI223" i="14"/>
  <c r="Y314" i="14"/>
  <c r="M295" i="14"/>
  <c r="AN365" i="14"/>
  <c r="Z324" i="14"/>
  <c r="Y363" i="14"/>
  <c r="Z284" i="14"/>
  <c r="X343" i="14"/>
  <c r="AI39" i="14"/>
  <c r="AI129" i="14"/>
  <c r="AB43" i="14"/>
  <c r="N215" i="14"/>
  <c r="X191" i="14"/>
  <c r="Y250" i="14"/>
  <c r="M330" i="14"/>
  <c r="AB142" i="14"/>
  <c r="AN58" i="14"/>
  <c r="X266" i="14"/>
  <c r="AB173" i="14"/>
  <c r="X57" i="14"/>
  <c r="X82" i="14"/>
  <c r="M146" i="14"/>
  <c r="AB267" i="14"/>
  <c r="AI231" i="14"/>
  <c r="Z125" i="14"/>
  <c r="M36" i="14"/>
  <c r="X50" i="14"/>
  <c r="N95" i="14"/>
  <c r="AB46" i="14"/>
  <c r="X163" i="14"/>
  <c r="M348" i="14"/>
  <c r="AB109" i="14"/>
  <c r="AI76" i="14"/>
  <c r="Z88" i="14"/>
  <c r="AN77" i="14"/>
  <c r="X297" i="14"/>
  <c r="AN202" i="14"/>
  <c r="AB175" i="14"/>
  <c r="N170" i="14"/>
  <c r="N251" i="14"/>
  <c r="AI127" i="14"/>
  <c r="N120" i="14"/>
  <c r="Y49" i="14"/>
  <c r="Z85" i="14"/>
  <c r="AB128" i="14"/>
  <c r="AB218" i="14"/>
  <c r="M237" i="14"/>
  <c r="Y220" i="14"/>
  <c r="AI264" i="14"/>
  <c r="AB182" i="14"/>
  <c r="Z103" i="14"/>
  <c r="AB318" i="14"/>
  <c r="AI173" i="14"/>
  <c r="Y212" i="14"/>
  <c r="AB340" i="14"/>
  <c r="Y96" i="14"/>
  <c r="AB280" i="14"/>
  <c r="AB319" i="14"/>
  <c r="X284" i="14"/>
  <c r="Z133" i="14"/>
  <c r="AN222" i="14"/>
  <c r="AI198" i="14"/>
  <c r="Y170" i="14"/>
  <c r="Z186" i="14"/>
  <c r="N152" i="14"/>
  <c r="Z90" i="14"/>
  <c r="Y289" i="14"/>
  <c r="AI336" i="14"/>
  <c r="AI352" i="14"/>
  <c r="AB362" i="14"/>
  <c r="AI158" i="14"/>
  <c r="AB123" i="14"/>
  <c r="Y357" i="14"/>
  <c r="AN287" i="14"/>
  <c r="AN71" i="14"/>
  <c r="AI187" i="14"/>
  <c r="X37" i="14"/>
  <c r="AI185" i="14"/>
  <c r="X290" i="14"/>
  <c r="Z253" i="14"/>
  <c r="Z117" i="14"/>
  <c r="AB265" i="14"/>
  <c r="X319" i="14"/>
  <c r="M199" i="14"/>
  <c r="X144" i="14"/>
  <c r="Y338" i="14"/>
  <c r="AI344" i="14"/>
  <c r="AI83" i="14"/>
  <c r="Y254" i="14"/>
  <c r="X353" i="14"/>
  <c r="X108" i="14"/>
  <c r="N29" i="14"/>
  <c r="AI262" i="14"/>
  <c r="M129" i="14"/>
  <c r="M192" i="14"/>
  <c r="AN70" i="14"/>
  <c r="Z39" i="14"/>
  <c r="AB161" i="14"/>
  <c r="M320" i="14"/>
  <c r="Y251" i="14"/>
  <c r="AI260" i="14"/>
  <c r="Y163" i="14"/>
  <c r="AB65" i="14"/>
  <c r="N48" i="14"/>
  <c r="M269" i="14"/>
  <c r="AN150" i="14"/>
  <c r="AN296" i="14"/>
  <c r="X369" i="14"/>
  <c r="M177" i="14"/>
  <c r="M351" i="14"/>
  <c r="Y56" i="14"/>
  <c r="AI188" i="14"/>
  <c r="AN359" i="14"/>
  <c r="Y231" i="14"/>
  <c r="AI218" i="14"/>
  <c r="X88" i="14"/>
  <c r="AN273" i="14"/>
  <c r="Z357" i="14"/>
  <c r="Y348" i="14"/>
  <c r="M323" i="14"/>
  <c r="Z265" i="14"/>
  <c r="M342" i="14"/>
  <c r="AI123" i="14"/>
  <c r="AN132" i="14"/>
  <c r="AN123" i="14"/>
  <c r="AI183" i="14"/>
  <c r="M226" i="14"/>
  <c r="Z280" i="14"/>
  <c r="Y239" i="14"/>
  <c r="Y94" i="14"/>
  <c r="X87" i="14"/>
  <c r="X111" i="14"/>
  <c r="Y53" i="14"/>
  <c r="AI92" i="14"/>
  <c r="AB321" i="14"/>
  <c r="M71" i="14"/>
  <c r="AN318" i="14"/>
  <c r="Z346" i="14"/>
  <c r="AN168" i="14"/>
  <c r="AN159" i="14"/>
  <c r="AB183" i="14"/>
  <c r="N156" i="14"/>
  <c r="Z155" i="14"/>
  <c r="Z59" i="14"/>
  <c r="AI256" i="14"/>
  <c r="AB333" i="14"/>
  <c r="AB176" i="14"/>
  <c r="Z118" i="14"/>
  <c r="AI305" i="14"/>
  <c r="M202" i="14"/>
  <c r="M39" i="14"/>
  <c r="N248" i="14"/>
  <c r="Z137" i="14"/>
  <c r="AB258" i="14"/>
  <c r="AN115" i="14"/>
  <c r="M66" i="14"/>
  <c r="Z176" i="14"/>
  <c r="N246" i="14"/>
  <c r="Y323" i="14"/>
  <c r="AB30" i="14"/>
  <c r="Y305" i="14"/>
  <c r="AB309" i="14"/>
  <c r="N144" i="14"/>
  <c r="X28" i="14"/>
  <c r="AN54" i="14"/>
  <c r="X223" i="14"/>
  <c r="M207" i="14"/>
  <c r="M365" i="14"/>
  <c r="AN191" i="14"/>
  <c r="M369" i="14"/>
  <c r="AI206" i="14"/>
  <c r="AB192" i="14"/>
  <c r="Y175" i="14"/>
  <c r="M205" i="14"/>
  <c r="AB240" i="14"/>
  <c r="AI130" i="14"/>
  <c r="Y349" i="14"/>
  <c r="Z236" i="14"/>
  <c r="N100" i="14"/>
  <c r="X54" i="14"/>
  <c r="Y43" i="14"/>
  <c r="AI268" i="14"/>
  <c r="X242" i="14"/>
  <c r="M167" i="14"/>
  <c r="Z335" i="14"/>
  <c r="Z128" i="14"/>
  <c r="M220" i="14"/>
  <c r="AN144" i="14"/>
  <c r="M257" i="14"/>
  <c r="Y280" i="14"/>
  <c r="M296" i="14"/>
  <c r="AB180" i="14"/>
  <c r="X344" i="14"/>
  <c r="M316" i="14"/>
  <c r="AI225" i="14"/>
  <c r="X159" i="14"/>
  <c r="M115" i="14"/>
  <c r="M230" i="14"/>
  <c r="AN240" i="14"/>
  <c r="AI67" i="14"/>
  <c r="AI134" i="14"/>
  <c r="X190" i="14"/>
  <c r="M353" i="14"/>
  <c r="AI287" i="14"/>
  <c r="AN63" i="14"/>
  <c r="M209" i="14"/>
  <c r="X306" i="14"/>
  <c r="AI201" i="14"/>
  <c r="AN260" i="14"/>
  <c r="N270" i="14"/>
  <c r="X356" i="14"/>
  <c r="AI356" i="14"/>
  <c r="AN241" i="14"/>
  <c r="Z94" i="14"/>
  <c r="M158" i="14"/>
  <c r="X334" i="14"/>
  <c r="N356" i="14"/>
  <c r="AI40" i="14"/>
  <c r="AI87" i="14"/>
  <c r="N83" i="14"/>
  <c r="Z63" i="14"/>
  <c r="Z279" i="14"/>
  <c r="AN324" i="14"/>
  <c r="M131" i="14"/>
  <c r="AN251" i="14"/>
  <c r="Y128" i="14"/>
  <c r="Z208" i="14"/>
  <c r="X98" i="14"/>
  <c r="N107" i="14"/>
  <c r="AI74" i="14"/>
  <c r="AB234" i="14"/>
  <c r="AB145" i="14"/>
  <c r="N93" i="14"/>
  <c r="Z225" i="14"/>
  <c r="AN311" i="14"/>
  <c r="AN192" i="14"/>
  <c r="AB95" i="14"/>
  <c r="Y283" i="14"/>
  <c r="AI306" i="14"/>
  <c r="AI318" i="14"/>
  <c r="Y341" i="14"/>
  <c r="Y236" i="14"/>
  <c r="Z263" i="14"/>
  <c r="Y189" i="14"/>
  <c r="Z325" i="14"/>
  <c r="AN94" i="14"/>
  <c r="AN102" i="14"/>
  <c r="AN294" i="14"/>
  <c r="Z361" i="14"/>
  <c r="Z242" i="14"/>
  <c r="AN118" i="14"/>
  <c r="M329" i="14"/>
  <c r="Y265" i="14"/>
  <c r="AN217" i="14"/>
  <c r="Y73" i="14"/>
  <c r="AN319" i="14"/>
  <c r="M49" i="14"/>
  <c r="M260" i="14"/>
  <c r="AI235" i="14"/>
  <c r="X90" i="14"/>
  <c r="AN140" i="14"/>
  <c r="AB107" i="14"/>
  <c r="M190" i="14"/>
  <c r="Y122" i="14"/>
  <c r="X219" i="14"/>
  <c r="M193" i="14"/>
  <c r="AB284" i="14"/>
  <c r="AN337" i="14"/>
  <c r="Z157" i="14"/>
  <c r="M160" i="14"/>
  <c r="AN66" i="14"/>
  <c r="AI166" i="14"/>
  <c r="AI296" i="14"/>
  <c r="Y108" i="14"/>
  <c r="X207" i="14"/>
  <c r="N140" i="14"/>
  <c r="M143" i="14"/>
  <c r="N136" i="14"/>
  <c r="M93" i="14"/>
  <c r="X128" i="14"/>
  <c r="N344" i="14"/>
  <c r="AN147" i="14"/>
  <c r="N111" i="14"/>
  <c r="AN46" i="14"/>
  <c r="AI369" i="14"/>
  <c r="AB317" i="14"/>
  <c r="AB236" i="14"/>
  <c r="Y140" i="14"/>
  <c r="AI242" i="14"/>
  <c r="AI99" i="14"/>
  <c r="M255" i="14"/>
  <c r="AI259" i="14"/>
  <c r="AI221" i="14"/>
  <c r="N307" i="14"/>
  <c r="Z222" i="14"/>
  <c r="X272" i="14"/>
  <c r="M32" i="14"/>
  <c r="N125" i="14"/>
  <c r="X142" i="14"/>
  <c r="X116" i="14"/>
  <c r="Z139" i="14"/>
  <c r="X351" i="14"/>
  <c r="Y142" i="14"/>
  <c r="Y139" i="14"/>
  <c r="X345" i="14"/>
  <c r="X69" i="14"/>
  <c r="X162" i="14"/>
  <c r="AN268" i="14"/>
  <c r="Y273" i="14"/>
  <c r="Y104" i="14"/>
  <c r="N364" i="14"/>
  <c r="Z154" i="14"/>
  <c r="AN360" i="14"/>
  <c r="Y309" i="14"/>
  <c r="N36" i="14"/>
  <c r="M212" i="14"/>
  <c r="AB82" i="14"/>
  <c r="AN246" i="14"/>
  <c r="N196" i="14"/>
  <c r="N78" i="14"/>
  <c r="N354" i="14"/>
  <c r="AN51" i="14"/>
  <c r="N243" i="14"/>
  <c r="Z245" i="14"/>
  <c r="Y316" i="14"/>
  <c r="X230" i="14"/>
  <c r="M142" i="14"/>
  <c r="N94" i="14"/>
  <c r="M258" i="14"/>
  <c r="X62" i="14"/>
  <c r="Z270" i="14"/>
  <c r="X317" i="14"/>
  <c r="AB345" i="14"/>
  <c r="AI69" i="14"/>
  <c r="AB121" i="14"/>
  <c r="M215" i="14"/>
  <c r="X106" i="14"/>
  <c r="N122" i="14"/>
  <c r="AN326" i="14"/>
  <c r="X255" i="14"/>
  <c r="Y301" i="14"/>
  <c r="N52" i="14"/>
  <c r="Y197" i="14"/>
  <c r="M165" i="14"/>
  <c r="X366" i="14"/>
  <c r="M82" i="14"/>
  <c r="AB126" i="14"/>
  <c r="X285" i="14"/>
  <c r="AB111" i="14"/>
  <c r="M305" i="14"/>
  <c r="Z237" i="14"/>
  <c r="AN90" i="14"/>
  <c r="AN169" i="14"/>
  <c r="Y39" i="14"/>
  <c r="Y143" i="14"/>
  <c r="Z38" i="14"/>
  <c r="Z291" i="14"/>
  <c r="Y257" i="14"/>
  <c r="X63" i="14"/>
  <c r="X347" i="14"/>
  <c r="AI314" i="14"/>
  <c r="X119" i="14"/>
  <c r="AI348" i="14"/>
  <c r="AI335" i="14"/>
  <c r="AN87" i="14"/>
  <c r="Y243" i="14"/>
  <c r="N264" i="14"/>
  <c r="Z138" i="14"/>
  <c r="AN184" i="14"/>
  <c r="X257" i="14"/>
  <c r="AI84" i="14"/>
  <c r="M364" i="14"/>
  <c r="AI351" i="14"/>
  <c r="M239" i="14"/>
  <c r="AN362" i="14"/>
  <c r="AI292" i="14"/>
  <c r="X300" i="14"/>
  <c r="X231" i="14"/>
  <c r="X156" i="14"/>
  <c r="AN198" i="14"/>
  <c r="N202" i="14"/>
  <c r="M109" i="14"/>
  <c r="X198" i="14"/>
  <c r="AI172" i="14"/>
  <c r="AB336" i="14"/>
  <c r="M137" i="14"/>
  <c r="AN76" i="14"/>
  <c r="X48" i="14"/>
  <c r="AI77" i="14"/>
  <c r="AI106" i="14"/>
  <c r="Z178" i="14"/>
  <c r="AB311" i="14"/>
  <c r="AN131" i="14"/>
  <c r="AI289" i="14"/>
  <c r="AI361" i="14"/>
  <c r="AB292" i="14"/>
  <c r="Z174" i="14"/>
  <c r="Z184" i="14"/>
  <c r="M97" i="14"/>
  <c r="X99" i="14"/>
  <c r="X160" i="14"/>
  <c r="Z166" i="14"/>
  <c r="M234" i="14"/>
  <c r="Y91" i="14"/>
  <c r="X188" i="14"/>
  <c r="N234" i="14"/>
  <c r="N225" i="14"/>
  <c r="AN195" i="14"/>
  <c r="N133" i="14"/>
  <c r="AN209" i="14"/>
  <c r="AB194" i="14"/>
  <c r="M175" i="14"/>
  <c r="AI299" i="14"/>
  <c r="AB48" i="14"/>
  <c r="AI226" i="14"/>
  <c r="X227" i="14"/>
  <c r="M181" i="14"/>
  <c r="M204" i="14"/>
  <c r="AB315" i="14"/>
  <c r="X282" i="14"/>
  <c r="Z73" i="14"/>
  <c r="AB158" i="14"/>
  <c r="Z43" i="14"/>
  <c r="M29" i="14"/>
  <c r="AB352" i="14"/>
  <c r="AB100" i="14"/>
  <c r="N328" i="14"/>
  <c r="N271" i="14"/>
  <c r="AN193" i="14"/>
  <c r="AN196" i="14"/>
  <c r="Z35" i="14"/>
  <c r="X121" i="14"/>
  <c r="Y235" i="14"/>
  <c r="Y70" i="14"/>
  <c r="AB272" i="14"/>
  <c r="N34" i="14"/>
  <c r="AB251" i="14"/>
  <c r="Y41" i="14"/>
  <c r="AN47" i="14"/>
  <c r="Z192" i="14"/>
  <c r="N231" i="14"/>
  <c r="N157" i="14"/>
  <c r="AN366" i="14"/>
  <c r="AN146" i="14"/>
  <c r="Z136" i="14"/>
  <c r="X197" i="14"/>
  <c r="M294" i="14"/>
  <c r="Z86" i="14"/>
  <c r="Z277" i="14"/>
  <c r="AB137" i="14"/>
  <c r="X105" i="14"/>
  <c r="Z114" i="14"/>
  <c r="M195" i="14"/>
  <c r="N86" i="14"/>
  <c r="M232" i="14"/>
  <c r="AN218" i="14"/>
  <c r="X327" i="14"/>
  <c r="AB365" i="14"/>
  <c r="X167" i="14"/>
  <c r="AB358" i="14"/>
  <c r="X289" i="14"/>
  <c r="Y81" i="14"/>
  <c r="Z269" i="14"/>
  <c r="AN271" i="14"/>
  <c r="N245" i="14"/>
  <c r="M68" i="14"/>
  <c r="M253" i="14"/>
  <c r="X295" i="14"/>
  <c r="Z47" i="14"/>
  <c r="X166" i="14"/>
  <c r="Y336" i="14"/>
  <c r="AI153" i="14"/>
  <c r="AI240" i="14"/>
  <c r="AB77" i="14"/>
  <c r="N180" i="14"/>
  <c r="AN126" i="14"/>
  <c r="AN236" i="14"/>
  <c r="AB348" i="14"/>
  <c r="Y245" i="14"/>
  <c r="AN158" i="14"/>
  <c r="Y102" i="14"/>
  <c r="X84" i="14"/>
  <c r="N258" i="14"/>
  <c r="Y227" i="14"/>
  <c r="Y109" i="14"/>
  <c r="AB256" i="14"/>
  <c r="AB297" i="14"/>
  <c r="AB222" i="14"/>
  <c r="AB59" i="14"/>
  <c r="N129" i="14"/>
  <c r="N103" i="14"/>
  <c r="M53" i="14"/>
  <c r="M91" i="14"/>
  <c r="AI288" i="14"/>
  <c r="N268" i="14"/>
  <c r="Z262" i="14"/>
  <c r="AB225" i="14"/>
  <c r="AN221" i="14"/>
  <c r="X80" i="14"/>
  <c r="AB241" i="14"/>
  <c r="Y34" i="14"/>
  <c r="AN210" i="14"/>
  <c r="AI224" i="14"/>
  <c r="AN262" i="14"/>
  <c r="Z147" i="14"/>
  <c r="AI329" i="14"/>
  <c r="AB75" i="14"/>
  <c r="AB198" i="14"/>
  <c r="N292" i="14"/>
  <c r="AI37" i="14"/>
  <c r="M80" i="14"/>
  <c r="M33" i="14"/>
  <c r="M77" i="14"/>
  <c r="Y322" i="14"/>
  <c r="AN213" i="14"/>
  <c r="X176" i="14"/>
  <c r="X298" i="14"/>
  <c r="X199" i="14"/>
  <c r="Y167" i="14"/>
  <c r="Z75" i="14"/>
  <c r="M169" i="14"/>
  <c r="N284" i="14"/>
  <c r="AN243" i="14"/>
  <c r="AN205" i="14"/>
  <c r="AN93" i="14"/>
  <c r="M283" i="14"/>
  <c r="Y90" i="14"/>
  <c r="M69" i="14"/>
  <c r="Y216" i="14"/>
  <c r="AB152" i="14"/>
  <c r="AI59" i="14"/>
  <c r="AN106" i="14"/>
  <c r="X181" i="14"/>
  <c r="M244" i="14"/>
  <c r="N250" i="14"/>
  <c r="Y106" i="14"/>
  <c r="M140" i="14"/>
  <c r="AB210" i="14"/>
  <c r="Z340" i="14"/>
  <c r="N279" i="14"/>
  <c r="N350" i="14"/>
  <c r="Z305" i="14"/>
  <c r="AI222" i="14"/>
  <c r="M189" i="14"/>
  <c r="AI182" i="14"/>
  <c r="X291" i="14"/>
  <c r="AN138" i="14"/>
  <c r="AB69" i="14"/>
  <c r="AI120" i="14"/>
  <c r="N291" i="14"/>
  <c r="AN91" i="14"/>
  <c r="M340" i="14"/>
  <c r="Z170" i="14"/>
  <c r="Y155" i="14"/>
  <c r="N331" i="14"/>
  <c r="X120" i="14"/>
  <c r="N326" i="14"/>
  <c r="M347" i="14"/>
  <c r="Y255" i="14"/>
  <c r="AB61" i="14"/>
  <c r="M252" i="14"/>
  <c r="Y190" i="14"/>
  <c r="Y275" i="14"/>
  <c r="N206" i="14"/>
  <c r="AI46" i="14"/>
  <c r="Y116" i="14"/>
  <c r="N244" i="14"/>
  <c r="Z181" i="14"/>
  <c r="AB224" i="14"/>
  <c r="N345" i="14"/>
  <c r="AN283" i="14"/>
  <c r="AI33" i="14"/>
  <c r="N155" i="14"/>
  <c r="AN204" i="14"/>
  <c r="N65" i="14"/>
  <c r="M100" i="14"/>
  <c r="AB204" i="14"/>
  <c r="X42" i="14"/>
  <c r="Y119" i="14"/>
  <c r="Y223" i="14"/>
  <c r="N104" i="14"/>
  <c r="N334" i="14"/>
  <c r="AB337" i="14"/>
  <c r="AB239" i="14"/>
  <c r="Y209" i="14"/>
  <c r="Z358" i="14"/>
  <c r="Y302" i="14"/>
  <c r="AI354" i="14"/>
  <c r="Z235" i="14"/>
  <c r="AB328" i="14"/>
  <c r="AI150" i="14"/>
  <c r="AB299" i="14"/>
  <c r="AN253" i="14"/>
  <c r="AI179" i="14"/>
  <c r="AN226" i="14"/>
  <c r="M256" i="14"/>
  <c r="X123" i="14"/>
  <c r="AN194" i="14"/>
  <c r="M72" i="14"/>
  <c r="X34" i="14"/>
  <c r="Y110" i="14"/>
  <c r="Z303" i="14"/>
  <c r="N163" i="14"/>
  <c r="Z196" i="14"/>
  <c r="AN113" i="14"/>
  <c r="Z209" i="14"/>
  <c r="M325" i="14"/>
  <c r="AB326" i="14"/>
  <c r="X278" i="14"/>
  <c r="AB334" i="14"/>
  <c r="Z146" i="14"/>
  <c r="M171" i="14"/>
  <c r="AI233" i="14"/>
  <c r="AI101" i="14"/>
  <c r="AB270" i="14"/>
  <c r="Z342" i="14"/>
  <c r="N340" i="14"/>
  <c r="Y28" i="14"/>
  <c r="Z326" i="14"/>
  <c r="Z219" i="14"/>
  <c r="X91" i="14"/>
  <c r="X182" i="14"/>
  <c r="N63" i="14"/>
  <c r="N321" i="14"/>
  <c r="Y35" i="14"/>
  <c r="AB115" i="14"/>
  <c r="N168" i="14"/>
  <c r="N247" i="14"/>
  <c r="M37" i="14"/>
  <c r="M308" i="14"/>
  <c r="Y325" i="14"/>
  <c r="Z194" i="14"/>
  <c r="Z145" i="14"/>
  <c r="Y171" i="14"/>
  <c r="X46" i="14"/>
  <c r="AN38" i="14"/>
  <c r="AN247" i="14"/>
  <c r="M339" i="14"/>
  <c r="AB290" i="14"/>
  <c r="M103" i="14"/>
  <c r="AI55" i="14"/>
  <c r="Y160" i="14"/>
  <c r="X147" i="14"/>
  <c r="AB186" i="14"/>
  <c r="AI85" i="14"/>
  <c r="X60" i="14"/>
  <c r="N267" i="14"/>
  <c r="AB291" i="14"/>
  <c r="N92" i="14"/>
  <c r="N161" i="14"/>
  <c r="M183" i="14"/>
  <c r="M298" i="14"/>
  <c r="Y240" i="14"/>
  <c r="X276" i="14"/>
  <c r="M229" i="14"/>
  <c r="Z106" i="14"/>
  <c r="Z135" i="14"/>
  <c r="X354" i="14"/>
  <c r="AI113" i="14"/>
  <c r="AB139" i="14"/>
  <c r="N40" i="14"/>
  <c r="M293" i="14"/>
  <c r="AB114" i="14"/>
  <c r="Z44" i="14"/>
  <c r="AI117" i="14"/>
  <c r="AN284" i="14"/>
  <c r="Y308" i="14"/>
  <c r="X220" i="14"/>
  <c r="X224" i="14"/>
  <c r="Y262" i="14"/>
  <c r="AN307" i="14"/>
  <c r="Z308" i="14"/>
  <c r="AN267" i="14"/>
  <c r="Z113" i="14"/>
  <c r="X192" i="14"/>
  <c r="Z102" i="14"/>
  <c r="X75" i="14"/>
  <c r="Z78" i="14"/>
  <c r="AN116" i="14"/>
  <c r="N337" i="14"/>
  <c r="Y185" i="14"/>
  <c r="N61" i="14"/>
  <c r="M62" i="14"/>
  <c r="Z131" i="14"/>
  <c r="Z323" i="14"/>
  <c r="M173" i="14"/>
  <c r="AN176" i="14"/>
  <c r="AB113" i="14"/>
  <c r="Z107" i="14"/>
  <c r="X360" i="14"/>
  <c r="AB138" i="14"/>
  <c r="M352" i="14"/>
  <c r="X250" i="14"/>
  <c r="Y63" i="14"/>
  <c r="AI70" i="14"/>
  <c r="AN52" i="14"/>
  <c r="M251" i="14"/>
  <c r="N304" i="14"/>
  <c r="N195" i="14"/>
  <c r="N361" i="14"/>
  <c r="N115" i="14"/>
  <c r="X155" i="14"/>
  <c r="AB52" i="14"/>
  <c r="N80" i="14"/>
  <c r="AI143" i="14"/>
  <c r="Z188" i="14"/>
  <c r="AI362" i="14"/>
  <c r="AN208" i="14"/>
  <c r="N97" i="14"/>
  <c r="AB286" i="14"/>
  <c r="Y158" i="14"/>
  <c r="AN35" i="14"/>
  <c r="N191" i="14"/>
  <c r="Z232" i="14"/>
  <c r="Z109" i="14"/>
  <c r="X346" i="14"/>
  <c r="M59" i="14"/>
  <c r="AN145" i="14"/>
  <c r="Y366" i="14"/>
  <c r="N256" i="14"/>
  <c r="Y133" i="14"/>
  <c r="AI308" i="14"/>
  <c r="M191" i="14"/>
  <c r="M28" i="14"/>
  <c r="AB327" i="14"/>
  <c r="M138" i="14"/>
  <c r="X43" i="14"/>
  <c r="AN313" i="14"/>
  <c r="X132" i="14"/>
  <c r="AN256" i="14"/>
  <c r="M312" i="14"/>
  <c r="N235" i="14"/>
  <c r="AI135" i="14"/>
  <c r="Z210" i="14"/>
  <c r="Z97" i="14"/>
  <c r="AI243" i="14"/>
  <c r="AN322" i="14"/>
  <c r="X246" i="14"/>
  <c r="M168" i="14"/>
  <c r="M206" i="14"/>
  <c r="X51" i="14"/>
  <c r="Z334" i="14"/>
  <c r="X55" i="14"/>
  <c r="AN172" i="14"/>
  <c r="X261" i="14"/>
  <c r="AI273" i="14"/>
  <c r="Y137" i="14"/>
  <c r="Y124" i="14"/>
  <c r="X270" i="14"/>
  <c r="X64" i="14"/>
  <c r="X158" i="14"/>
  <c r="AI269" i="14"/>
  <c r="M180" i="14"/>
  <c r="X212" i="14"/>
  <c r="AN347" i="14"/>
  <c r="AN190" i="14"/>
  <c r="M313" i="14"/>
  <c r="AB219" i="14"/>
  <c r="N87" i="14"/>
  <c r="AN50" i="14"/>
  <c r="AI310" i="14"/>
  <c r="AB148" i="14"/>
  <c r="M277" i="14"/>
  <c r="AI162" i="14"/>
  <c r="AN339" i="14"/>
  <c r="X348" i="14"/>
  <c r="Y311" i="14"/>
  <c r="Z201" i="14"/>
  <c r="AN108" i="14"/>
  <c r="M162" i="14"/>
  <c r="AI138" i="14"/>
  <c r="AB168" i="14"/>
  <c r="AI353" i="14"/>
  <c r="Z215" i="14"/>
  <c r="Y105" i="14"/>
  <c r="Z34" i="14"/>
  <c r="Z68" i="14"/>
  <c r="N147" i="14"/>
  <c r="M156" i="14"/>
  <c r="AI211" i="14"/>
  <c r="AN171" i="14"/>
  <c r="X74" i="14"/>
  <c r="Z217" i="14"/>
  <c r="M363" i="14"/>
  <c r="AI31" i="14"/>
  <c r="X113" i="14"/>
  <c r="Y135" i="14"/>
  <c r="AI64" i="14"/>
  <c r="N164" i="14"/>
  <c r="N359" i="14"/>
  <c r="N182" i="14"/>
  <c r="AN30" i="14"/>
  <c r="AB279" i="14"/>
  <c r="Z246" i="14"/>
  <c r="X71" i="14"/>
  <c r="N310" i="14"/>
  <c r="AN101" i="14"/>
  <c r="X157" i="14"/>
  <c r="X368" i="14"/>
  <c r="M249" i="14"/>
  <c r="N269" i="14"/>
  <c r="M63" i="14"/>
  <c r="AI169" i="14"/>
  <c r="Z243" i="14"/>
  <c r="X318" i="14"/>
  <c r="AI204" i="14"/>
  <c r="Z191" i="14"/>
  <c r="AI73" i="14"/>
  <c r="Y332" i="14"/>
  <c r="X326" i="14"/>
  <c r="X275" i="14"/>
  <c r="N241" i="14"/>
  <c r="AI94" i="14"/>
  <c r="X336" i="14"/>
  <c r="Y46" i="14"/>
  <c r="AB289" i="14"/>
  <c r="Y293" i="14"/>
  <c r="Z289" i="14"/>
  <c r="AN233" i="14"/>
  <c r="AI131" i="14"/>
  <c r="N341" i="14"/>
  <c r="Y120" i="14"/>
  <c r="Z81" i="14"/>
  <c r="AB105" i="14"/>
  <c r="Y165" i="14"/>
  <c r="N205" i="14"/>
  <c r="X117" i="14"/>
  <c r="Y126" i="14"/>
  <c r="AN312" i="14"/>
  <c r="AB104" i="14"/>
  <c r="AN269" i="14"/>
  <c r="M319" i="14"/>
  <c r="X249" i="14"/>
  <c r="AN361" i="14"/>
  <c r="Z330" i="14"/>
  <c r="M337" i="14"/>
  <c r="AN356" i="14"/>
  <c r="AI174" i="14"/>
  <c r="AN109" i="14"/>
  <c r="AI88" i="14"/>
  <c r="AN85" i="14"/>
  <c r="Y306" i="14"/>
  <c r="AB56" i="14"/>
  <c r="Y269" i="14"/>
  <c r="Y344" i="14"/>
  <c r="Z296" i="14"/>
  <c r="AN152" i="14"/>
  <c r="AN368" i="14"/>
  <c r="N285" i="14"/>
  <c r="AN166" i="14"/>
  <c r="AB41" i="14"/>
  <c r="N313" i="14"/>
  <c r="AB285" i="14"/>
  <c r="X47" i="14"/>
  <c r="M139" i="14"/>
  <c r="AN231" i="14"/>
  <c r="X112" i="14"/>
  <c r="Z42" i="14"/>
  <c r="Y333" i="14"/>
  <c r="N43" i="14"/>
  <c r="AN188" i="14"/>
  <c r="AN325" i="14"/>
  <c r="N237" i="14"/>
  <c r="M211" i="14"/>
  <c r="AI196" i="14"/>
  <c r="AI307" i="14"/>
  <c r="Y57" i="14"/>
  <c r="AI57" i="14"/>
  <c r="N42" i="14"/>
  <c r="Z185" i="14"/>
  <c r="X232" i="14"/>
  <c r="AI313" i="14"/>
  <c r="M242" i="14"/>
  <c r="M113" i="14"/>
  <c r="Z200" i="14"/>
  <c r="Z152" i="14"/>
  <c r="AN100" i="14"/>
  <c r="Z164" i="14"/>
  <c r="Z115" i="14"/>
  <c r="Y193" i="14"/>
  <c r="AB70" i="14"/>
  <c r="AI161" i="14"/>
  <c r="AN264" i="14"/>
  <c r="Z260" i="14"/>
  <c r="Z230" i="14"/>
  <c r="M135" i="14"/>
  <c r="N56" i="14"/>
  <c r="M368" i="14"/>
  <c r="AN61" i="14"/>
  <c r="N228" i="14"/>
  <c r="M198" i="14"/>
  <c r="Y152" i="14"/>
  <c r="M358" i="14"/>
  <c r="Y62" i="14"/>
  <c r="AB103" i="14"/>
  <c r="Y134" i="14"/>
  <c r="Z66" i="14"/>
  <c r="AI236" i="14"/>
  <c r="X286" i="14"/>
  <c r="AI96" i="14"/>
  <c r="Z159" i="14"/>
  <c r="Z32" i="14"/>
  <c r="AI50" i="14"/>
  <c r="X330" i="14"/>
  <c r="AI241" i="14"/>
  <c r="AB102" i="14"/>
  <c r="AI163" i="14"/>
  <c r="AB283" i="14"/>
  <c r="M34" i="14"/>
  <c r="AN165" i="14"/>
  <c r="Z355" i="14"/>
  <c r="M55" i="14"/>
  <c r="AB298" i="14"/>
  <c r="Y174" i="14"/>
  <c r="AN74" i="14"/>
  <c r="AI281" i="14"/>
  <c r="Z226" i="14"/>
  <c r="AB143" i="14"/>
  <c r="AN149" i="14"/>
  <c r="Z255" i="14"/>
  <c r="X316" i="14"/>
  <c r="AB253" i="14"/>
  <c r="AB243" i="14"/>
  <c r="M67" i="14"/>
  <c r="AN309" i="14"/>
  <c r="X264" i="14"/>
  <c r="X235" i="14"/>
  <c r="Z329" i="14"/>
  <c r="M84" i="14"/>
  <c r="AB254" i="14"/>
  <c r="AI283" i="14"/>
  <c r="M322" i="14"/>
  <c r="AB118" i="14"/>
  <c r="M60" i="14"/>
  <c r="Z212" i="14"/>
  <c r="AI159" i="14"/>
  <c r="AI100" i="14"/>
  <c r="Y80" i="14"/>
  <c r="M222" i="14"/>
  <c r="Z206" i="14"/>
  <c r="X305" i="14"/>
  <c r="M292" i="14"/>
  <c r="Y331" i="14"/>
  <c r="Y234" i="14"/>
  <c r="Y40" i="14"/>
  <c r="X104" i="14"/>
  <c r="Z119" i="14"/>
  <c r="Y132" i="14"/>
  <c r="AN285" i="14"/>
  <c r="N339" i="14"/>
  <c r="AN286" i="14"/>
  <c r="AB149" i="14"/>
  <c r="Y67" i="14"/>
  <c r="AN62" i="14"/>
  <c r="Y183" i="14"/>
  <c r="M231" i="14"/>
  <c r="X137" i="14"/>
  <c r="AB94" i="14"/>
  <c r="N213" i="14"/>
  <c r="AI61" i="14"/>
  <c r="Z313" i="14"/>
  <c r="M112" i="14"/>
  <c r="AB226" i="14"/>
  <c r="M99" i="14"/>
  <c r="AI295" i="14"/>
  <c r="X175" i="14"/>
  <c r="M221" i="14"/>
  <c r="Z116" i="14"/>
  <c r="X308" i="14"/>
  <c r="AB106" i="14"/>
  <c r="N346" i="14"/>
  <c r="Y286" i="14"/>
  <c r="AB220" i="14"/>
  <c r="Y321" i="14"/>
  <c r="X260" i="14"/>
  <c r="Y259" i="14"/>
  <c r="X307" i="14"/>
  <c r="AN237" i="14"/>
  <c r="M92" i="14"/>
  <c r="N357" i="14"/>
  <c r="N216" i="14"/>
  <c r="Y270" i="14"/>
  <c r="M332" i="14"/>
  <c r="AN254" i="14"/>
  <c r="N281" i="14"/>
  <c r="M166" i="14"/>
  <c r="N183" i="14"/>
  <c r="N49" i="14"/>
  <c r="M117" i="14"/>
  <c r="AN350" i="14"/>
  <c r="Z61" i="14"/>
  <c r="Y303" i="14"/>
  <c r="AN305" i="14"/>
  <c r="N166" i="14"/>
  <c r="Z122" i="14"/>
  <c r="Y95" i="14"/>
  <c r="N282" i="14"/>
  <c r="M338" i="14"/>
  <c r="X52" i="14"/>
  <c r="Z345" i="14"/>
  <c r="X209" i="14"/>
  <c r="X361" i="14"/>
  <c r="N316" i="14"/>
  <c r="Z227" i="14"/>
  <c r="Z257" i="14"/>
  <c r="AN95" i="14"/>
  <c r="AN304" i="14"/>
  <c r="Y127" i="14"/>
  <c r="AB310" i="14"/>
  <c r="X359" i="14"/>
  <c r="M227" i="14"/>
  <c r="Y138" i="14"/>
  <c r="N276" i="14"/>
  <c r="M153" i="14"/>
  <c r="Y282" i="14"/>
  <c r="AB287" i="14"/>
  <c r="Y324" i="14"/>
  <c r="AN298" i="14"/>
  <c r="N67" i="14"/>
  <c r="N192" i="14"/>
  <c r="AI71" i="14"/>
  <c r="AN203" i="14"/>
  <c r="AN295" i="14"/>
  <c r="AB165" i="14"/>
  <c r="M262" i="14"/>
  <c r="AN225" i="14"/>
  <c r="AI116" i="14"/>
  <c r="M98" i="14"/>
  <c r="AB37" i="14"/>
  <c r="N116" i="14"/>
  <c r="N224" i="14"/>
  <c r="Y87" i="14"/>
  <c r="Z350" i="14"/>
  <c r="N145" i="14"/>
  <c r="AI217" i="14"/>
  <c r="AB304" i="14"/>
  <c r="AN364" i="14"/>
  <c r="AB169" i="14"/>
  <c r="Y84" i="14"/>
  <c r="AB201" i="14"/>
  <c r="AB300" i="14"/>
  <c r="X56" i="14"/>
  <c r="AI298" i="14"/>
  <c r="AB64" i="14"/>
  <c r="Y156" i="14"/>
  <c r="Z167" i="14"/>
  <c r="N203" i="14"/>
  <c r="AN151" i="14"/>
  <c r="M75" i="14"/>
  <c r="X259" i="14"/>
  <c r="N121" i="14"/>
  <c r="M224" i="14"/>
  <c r="AI278" i="14"/>
  <c r="Y315" i="14"/>
  <c r="M187" i="14"/>
  <c r="M218" i="14"/>
  <c r="M306" i="14"/>
  <c r="M343" i="14"/>
  <c r="AN161" i="14"/>
  <c r="AN211" i="14"/>
  <c r="N167" i="14"/>
  <c r="AN173" i="14"/>
  <c r="M110" i="14"/>
  <c r="M182" i="14"/>
  <c r="AN249" i="14"/>
  <c r="AI195" i="14"/>
  <c r="N278" i="14"/>
  <c r="AB162" i="14"/>
  <c r="Y180" i="14"/>
  <c r="Z352" i="14"/>
  <c r="Y194" i="14"/>
  <c r="N47" i="14"/>
  <c r="N358" i="14"/>
  <c r="M264" i="14"/>
  <c r="AI227" i="14"/>
  <c r="AI317" i="14"/>
  <c r="AB178" i="14"/>
  <c r="X312" i="14"/>
  <c r="Y89" i="14"/>
  <c r="N330" i="14"/>
  <c r="Z309" i="14"/>
  <c r="N355" i="14"/>
  <c r="M108" i="14"/>
  <c r="Z369" i="14"/>
  <c r="AI309" i="14"/>
  <c r="Z285" i="14"/>
  <c r="AB357" i="14"/>
  <c r="X296" i="14"/>
  <c r="N275" i="14"/>
  <c r="Y335" i="14"/>
  <c r="Z179" i="14"/>
  <c r="Z266" i="14"/>
  <c r="X363" i="14"/>
  <c r="M46" i="14"/>
  <c r="AI152" i="14"/>
  <c r="Z317" i="14"/>
  <c r="Z40" i="14"/>
  <c r="AN239" i="14"/>
  <c r="AB342" i="14"/>
  <c r="Y364" i="14"/>
  <c r="Y181" i="14"/>
  <c r="X349" i="14"/>
  <c r="M354" i="14"/>
  <c r="AN130" i="14"/>
  <c r="AI297" i="14"/>
  <c r="AI220" i="14"/>
  <c r="X322" i="14"/>
  <c r="AN98" i="14"/>
  <c r="M123" i="14"/>
  <c r="Y264" i="14"/>
  <c r="AI212" i="14"/>
  <c r="M70" i="14"/>
  <c r="M38" i="14"/>
  <c r="Y44" i="14"/>
  <c r="X304" i="14"/>
  <c r="X130" i="14"/>
  <c r="Y72" i="14"/>
  <c r="Z180" i="14"/>
  <c r="Y42" i="14"/>
  <c r="N323" i="14"/>
  <c r="N294" i="14"/>
  <c r="X340" i="14"/>
  <c r="AI321" i="14"/>
  <c r="AB211" i="14"/>
  <c r="Z84" i="14"/>
  <c r="AN33" i="14"/>
  <c r="M349" i="14"/>
  <c r="X89" i="14"/>
  <c r="Y30" i="14"/>
  <c r="AN135" i="14"/>
  <c r="M246" i="14"/>
  <c r="X153" i="14"/>
  <c r="AN79" i="14"/>
  <c r="Z216" i="14"/>
  <c r="M172" i="14"/>
  <c r="AN238" i="14"/>
  <c r="N159" i="14"/>
  <c r="Y112" i="14"/>
  <c r="AI157" i="14"/>
  <c r="C37" i="11"/>
  <c r="N137" i="14"/>
  <c r="AI303" i="14"/>
  <c r="N106" i="14"/>
  <c r="N327" i="14"/>
  <c r="N288" i="14"/>
  <c r="AB179" i="14"/>
  <c r="X95" i="14"/>
  <c r="AN224" i="14"/>
  <c r="AB132" i="14"/>
  <c r="AN199" i="14"/>
  <c r="Y304" i="14"/>
  <c r="X205" i="14"/>
  <c r="X258" i="14"/>
  <c r="AN248" i="14"/>
  <c r="AI367" i="14"/>
  <c r="AN250" i="14"/>
  <c r="AN65" i="14"/>
  <c r="AN105" i="14"/>
  <c r="AB330" i="14"/>
  <c r="Y187" i="14"/>
  <c r="AI325" i="14"/>
  <c r="N255" i="14"/>
  <c r="N30" i="14"/>
  <c r="AI254" i="14"/>
  <c r="AI154" i="14"/>
  <c r="X202" i="14"/>
  <c r="Z199" i="14"/>
  <c r="X234" i="14"/>
  <c r="N158" i="14"/>
  <c r="Y277" i="14"/>
  <c r="Y318" i="14"/>
  <c r="AN134" i="14"/>
  <c r="AI210" i="14"/>
  <c r="AN200" i="14"/>
  <c r="AI160" i="14"/>
  <c r="AN263" i="14"/>
  <c r="M233" i="14"/>
  <c r="N118" i="14"/>
  <c r="AB313" i="14"/>
  <c r="X126" i="14"/>
  <c r="M54" i="14"/>
  <c r="X225" i="14"/>
  <c r="X173" i="14"/>
  <c r="AI247" i="14"/>
  <c r="N352" i="14"/>
  <c r="AI29" i="14"/>
  <c r="N367" i="14"/>
  <c r="N249" i="14"/>
  <c r="AI277" i="14"/>
  <c r="X315" i="14"/>
  <c r="AB288" i="14"/>
  <c r="N209" i="14"/>
  <c r="N146" i="14"/>
  <c r="X131" i="14"/>
  <c r="Y285" i="14"/>
  <c r="X236" i="14"/>
  <c r="Y297" i="14"/>
  <c r="AB170" i="14"/>
  <c r="X76" i="14"/>
  <c r="Y99" i="14"/>
  <c r="Y253" i="14"/>
  <c r="Z89" i="14"/>
  <c r="AB36" i="14"/>
  <c r="AN110" i="14"/>
  <c r="AB306" i="14"/>
  <c r="AB247" i="14"/>
  <c r="AN230" i="14"/>
  <c r="X72" i="14"/>
  <c r="Y93" i="14"/>
  <c r="Z111" i="14"/>
  <c r="AN291" i="14"/>
  <c r="Y111" i="14"/>
  <c r="AB53" i="14"/>
  <c r="Y291" i="14"/>
  <c r="N138" i="14"/>
  <c r="M208" i="14"/>
  <c r="AN314" i="14"/>
  <c r="AB38" i="14"/>
  <c r="AI75" i="14"/>
  <c r="Y83" i="14"/>
  <c r="AN53" i="14"/>
  <c r="M126" i="14"/>
  <c r="AN220" i="14"/>
  <c r="Y36" i="14"/>
  <c r="M266" i="14"/>
  <c r="M122" i="14"/>
  <c r="AN156" i="14"/>
  <c r="AI180" i="14"/>
  <c r="Z54" i="14"/>
  <c r="Y281" i="14"/>
  <c r="M52" i="14"/>
  <c r="AN67" i="14"/>
  <c r="Z71" i="14"/>
  <c r="AB112" i="14"/>
  <c r="AB151" i="14"/>
  <c r="M188" i="14"/>
  <c r="N286" i="14"/>
  <c r="Y237" i="14"/>
  <c r="M314" i="14"/>
  <c r="AI339" i="14"/>
  <c r="X350" i="14"/>
  <c r="AB347" i="14"/>
  <c r="X337" i="14"/>
  <c r="Y224" i="14"/>
  <c r="Z80" i="14"/>
  <c r="AN177" i="14"/>
  <c r="M147" i="14"/>
  <c r="AI244" i="14"/>
  <c r="Y100" i="14"/>
  <c r="Z310" i="14"/>
  <c r="X115" i="14"/>
  <c r="AB141" i="14"/>
  <c r="AI103" i="14"/>
  <c r="Z316" i="14"/>
  <c r="AI342" i="14"/>
  <c r="X341" i="14"/>
  <c r="AN343" i="14"/>
  <c r="AB120" i="14"/>
  <c r="Y230" i="14"/>
  <c r="AN354" i="14"/>
  <c r="N236" i="14"/>
  <c r="AI285" i="14"/>
  <c r="AB136" i="14"/>
  <c r="AB363" i="14"/>
  <c r="AB177" i="14"/>
  <c r="AB329" i="14"/>
  <c r="AN342" i="14"/>
  <c r="AB324" i="14"/>
  <c r="Y208" i="14"/>
  <c r="AN297" i="14"/>
  <c r="M155" i="14"/>
  <c r="AN353" i="14"/>
  <c r="Z292" i="14"/>
  <c r="AB255" i="14"/>
  <c r="Z31" i="14"/>
  <c r="AN141" i="14"/>
  <c r="AI253" i="14"/>
  <c r="AI122" i="14"/>
  <c r="AB282" i="14"/>
  <c r="N260" i="14"/>
  <c r="Z123" i="14"/>
  <c r="AI139" i="14"/>
  <c r="M96" i="14"/>
  <c r="N169" i="14"/>
  <c r="Y340" i="14"/>
  <c r="M334" i="14"/>
  <c r="Z238" i="14"/>
  <c r="AI104" i="14"/>
  <c r="AB316" i="14"/>
  <c r="AN331" i="14"/>
  <c r="AB68" i="14"/>
  <c r="N108" i="14"/>
  <c r="X321" i="14"/>
  <c r="M105" i="14"/>
  <c r="N117" i="14"/>
  <c r="M267" i="14"/>
  <c r="Y78" i="14"/>
  <c r="Y64" i="14"/>
  <c r="AB322" i="14"/>
  <c r="Z171" i="14"/>
  <c r="Y246" i="14"/>
  <c r="Z258" i="14"/>
  <c r="N50" i="14"/>
  <c r="M73" i="14"/>
  <c r="AB257" i="14"/>
  <c r="AI97" i="14"/>
  <c r="Y38" i="14"/>
  <c r="Y300" i="14"/>
  <c r="X154" i="14"/>
  <c r="X29" i="14"/>
  <c r="AI333" i="14"/>
  <c r="M355" i="14"/>
  <c r="AN97" i="14"/>
  <c r="Y310" i="14"/>
  <c r="X114" i="14"/>
  <c r="AN228" i="14"/>
  <c r="X313" i="14"/>
  <c r="X237" i="14"/>
  <c r="AB146" i="14"/>
  <c r="N39" i="14"/>
  <c r="Y241" i="14"/>
  <c r="Z297" i="14"/>
  <c r="Y103" i="14"/>
  <c r="N226" i="14"/>
  <c r="Y256" i="14"/>
  <c r="AB167" i="14"/>
  <c r="AB93" i="14"/>
  <c r="N139" i="14"/>
  <c r="X32" i="14"/>
  <c r="N160" i="14"/>
  <c r="X265" i="14"/>
  <c r="Z314" i="14"/>
  <c r="AB71" i="14"/>
  <c r="AB50" i="14"/>
  <c r="X143" i="14"/>
  <c r="N135" i="14"/>
  <c r="Y271" i="14"/>
  <c r="AI95" i="14"/>
  <c r="X267" i="14"/>
  <c r="M56" i="14"/>
  <c r="AN340" i="14"/>
  <c r="M345" i="14"/>
  <c r="X221" i="14"/>
  <c r="Y290" i="14"/>
  <c r="M210" i="14"/>
  <c r="X287" i="14"/>
  <c r="AI181" i="14"/>
  <c r="AN167" i="14"/>
  <c r="N81" i="14"/>
  <c r="N68" i="14"/>
  <c r="M64" i="14"/>
  <c r="M118" i="14"/>
  <c r="Z58" i="14"/>
  <c r="AN227" i="14"/>
  <c r="AN143" i="14"/>
  <c r="N84" i="14"/>
  <c r="M359" i="14"/>
  <c r="Z67" i="14"/>
  <c r="AN338" i="14"/>
  <c r="Y196" i="14"/>
  <c r="Y61" i="14"/>
  <c r="Z328" i="14"/>
  <c r="Z74" i="14"/>
  <c r="Y284" i="14"/>
  <c r="X274" i="14"/>
  <c r="Z36" i="14"/>
  <c r="M106" i="14"/>
  <c r="AI124" i="14"/>
  <c r="AI58" i="14"/>
  <c r="X324" i="14"/>
  <c r="N207" i="14"/>
  <c r="X103" i="14"/>
  <c r="M265" i="14"/>
  <c r="AN369" i="14"/>
  <c r="Z52" i="14"/>
  <c r="M159" i="14"/>
  <c r="Z256" i="14"/>
  <c r="Z56" i="14"/>
  <c r="AI324" i="14"/>
  <c r="Y159" i="14"/>
  <c r="AB164" i="14"/>
  <c r="AN37" i="14"/>
  <c r="AN214" i="14"/>
  <c r="Z53" i="14"/>
  <c r="X101" i="14"/>
  <c r="M291" i="14"/>
  <c r="Y144" i="14"/>
  <c r="M236" i="14"/>
  <c r="AB242" i="14"/>
  <c r="Y206" i="14"/>
  <c r="N187" i="14"/>
  <c r="AN157" i="14"/>
  <c r="X244" i="14"/>
  <c r="AB49" i="14"/>
  <c r="Z110" i="14"/>
  <c r="AI164" i="14"/>
  <c r="Y287" i="14"/>
  <c r="Y317" i="14"/>
  <c r="X33" i="14"/>
  <c r="AN206" i="14"/>
  <c r="N190" i="14"/>
  <c r="AI42" i="14"/>
  <c r="Y177" i="14"/>
  <c r="Y172" i="14"/>
  <c r="M152" i="14"/>
  <c r="Z337" i="14"/>
  <c r="M101" i="14"/>
  <c r="N317" i="14"/>
  <c r="AN103" i="14"/>
  <c r="Y362" i="14"/>
  <c r="AN252" i="14"/>
  <c r="X211" i="14"/>
  <c r="M247" i="14"/>
  <c r="X245" i="14"/>
  <c r="AB101" i="14"/>
  <c r="Y145" i="14"/>
  <c r="Y176" i="14"/>
  <c r="AN302" i="14"/>
  <c r="Z319" i="14"/>
  <c r="Z182" i="14"/>
  <c r="Y238" i="14"/>
  <c r="M128" i="14"/>
  <c r="M47" i="14"/>
  <c r="AI345" i="14"/>
  <c r="X367" i="14"/>
  <c r="X281" i="14"/>
  <c r="X44" i="14"/>
  <c r="N113" i="14"/>
  <c r="AN301" i="14"/>
  <c r="AI190" i="14"/>
  <c r="AB335" i="14"/>
  <c r="X226" i="14"/>
  <c r="M136" i="14"/>
  <c r="M85" i="14"/>
  <c r="Y97" i="14"/>
  <c r="AI132" i="14"/>
  <c r="N311" i="14"/>
  <c r="AN306" i="14"/>
  <c r="Z293" i="14"/>
  <c r="AI38" i="14"/>
  <c r="Y74" i="14"/>
  <c r="M261" i="14"/>
  <c r="AI177" i="14"/>
  <c r="AN223" i="14"/>
  <c r="AB57" i="14"/>
  <c r="X83" i="14"/>
  <c r="N173" i="14"/>
  <c r="AN332" i="14"/>
  <c r="AI293" i="14"/>
  <c r="M300" i="14"/>
  <c r="AI48" i="14"/>
  <c r="Y191" i="14"/>
  <c r="M366" i="14"/>
  <c r="AN299" i="14"/>
  <c r="Z283" i="14"/>
  <c r="AB233" i="14"/>
  <c r="M150" i="14"/>
  <c r="AI284" i="14"/>
  <c r="AB249" i="14"/>
  <c r="AB81" i="14"/>
  <c r="Z290" i="14"/>
  <c r="X125" i="14"/>
  <c r="M76" i="14"/>
  <c r="N219" i="14"/>
  <c r="AN68" i="14"/>
  <c r="AB246" i="14"/>
  <c r="AI272" i="14"/>
  <c r="N273" i="14"/>
  <c r="AB44" i="14"/>
  <c r="AI341" i="14"/>
  <c r="M194" i="14"/>
  <c r="AI51" i="14"/>
  <c r="Y312" i="14"/>
  <c r="N177" i="14"/>
  <c r="Y48" i="14"/>
  <c r="AB124" i="14"/>
  <c r="AI45" i="14"/>
  <c r="AI105" i="14"/>
  <c r="N274" i="14"/>
  <c r="Z218" i="14"/>
  <c r="AB89" i="14"/>
  <c r="N296" i="14"/>
  <c r="AB90" i="14"/>
  <c r="AN352" i="14"/>
  <c r="M145" i="14"/>
  <c r="N101" i="14"/>
  <c r="AN96" i="14"/>
  <c r="Y263" i="14"/>
  <c r="X253" i="14"/>
  <c r="Z143" i="14"/>
  <c r="AN351" i="14"/>
  <c r="M356" i="14"/>
  <c r="Z198" i="14"/>
  <c r="N240" i="14"/>
  <c r="M35" i="14"/>
  <c r="AI175" i="14"/>
  <c r="N150" i="14"/>
  <c r="AN45" i="14"/>
  <c r="Y346" i="14"/>
  <c r="Z37" i="14"/>
  <c r="AI267" i="14"/>
  <c r="X301" i="14"/>
  <c r="Y150" i="14"/>
  <c r="N102" i="14"/>
  <c r="Z295" i="14"/>
  <c r="AI312" i="14"/>
  <c r="AN282" i="14"/>
  <c r="AN72" i="14"/>
  <c r="N303" i="14"/>
  <c r="AN258" i="14"/>
  <c r="Y326" i="14"/>
  <c r="Y52" i="14"/>
  <c r="X222" i="14"/>
  <c r="AN49" i="14"/>
  <c r="AB110" i="14"/>
  <c r="AB349" i="14"/>
  <c r="AN111" i="14"/>
  <c r="X229" i="14"/>
  <c r="AN153" i="14"/>
  <c r="Z173" i="14"/>
  <c r="X239" i="14"/>
  <c r="Y37" i="14"/>
  <c r="M280" i="14"/>
  <c r="Y352" i="14"/>
  <c r="AN122" i="14"/>
  <c r="X233" i="14"/>
  <c r="AN308" i="14"/>
  <c r="AB232" i="14"/>
  <c r="N55" i="14"/>
  <c r="Y247" i="14"/>
  <c r="AN160" i="14"/>
  <c r="X362" i="14"/>
  <c r="AB264" i="14"/>
  <c r="AB122" i="14"/>
  <c r="AN349" i="14"/>
  <c r="D13" i="11"/>
  <c r="AN272" i="14"/>
  <c r="Y115" i="14"/>
  <c r="Y296" i="14"/>
  <c r="Z30" i="14"/>
  <c r="Y249" i="14"/>
  <c r="M268" i="14"/>
  <c r="Z57" i="14"/>
  <c r="AI36" i="14"/>
  <c r="AB190" i="14"/>
  <c r="Y58" i="14"/>
  <c r="N239" i="14"/>
  <c r="AN257" i="14"/>
  <c r="Y242" i="14"/>
  <c r="X58" i="14"/>
  <c r="AN84" i="14"/>
  <c r="N38" i="14"/>
  <c r="Z332" i="14"/>
  <c r="X189" i="14"/>
  <c r="M299" i="14"/>
  <c r="X292" i="14"/>
  <c r="Z366" i="14"/>
  <c r="N98" i="14"/>
  <c r="X194" i="14"/>
  <c r="D37" i="11"/>
  <c r="E37" i="11" l="1"/>
  <c r="W194" i="14"/>
  <c r="W292" i="14"/>
  <c r="W189" i="14"/>
  <c r="W58" i="14"/>
  <c r="AA242" i="14"/>
  <c r="AA58" i="14"/>
  <c r="AA249" i="14"/>
  <c r="AA296" i="14"/>
  <c r="AA115" i="14"/>
  <c r="E13" i="11"/>
  <c r="W362" i="14"/>
  <c r="AA247" i="14"/>
  <c r="W233" i="14"/>
  <c r="AA352" i="14"/>
  <c r="Q47" i="15"/>
  <c r="AA37" i="14"/>
  <c r="W239" i="14"/>
  <c r="W229" i="14"/>
  <c r="W222" i="14"/>
  <c r="AA52" i="14"/>
  <c r="AA326" i="14"/>
  <c r="AA150" i="14"/>
  <c r="W301" i="14"/>
  <c r="AA346" i="14"/>
  <c r="Q39" i="15"/>
  <c r="W253" i="14"/>
  <c r="AA263" i="14"/>
  <c r="U4" i="9"/>
  <c r="D32" i="11" s="1"/>
  <c r="E32" i="11" s="1"/>
  <c r="AA48" i="14"/>
  <c r="AA312" i="14"/>
  <c r="W125" i="14"/>
  <c r="AA191" i="14"/>
  <c r="W83" i="14"/>
  <c r="AA74" i="14"/>
  <c r="AA97" i="14"/>
  <c r="W226" i="14"/>
  <c r="W44" i="14"/>
  <c r="W281" i="14"/>
  <c r="W367" i="14"/>
  <c r="AA238" i="14"/>
  <c r="AA176" i="14"/>
  <c r="AA145" i="14"/>
  <c r="W245" i="14"/>
  <c r="W211" i="14"/>
  <c r="AA362" i="14"/>
  <c r="AA172" i="14"/>
  <c r="AA177" i="14"/>
  <c r="W33" i="14"/>
  <c r="AA317" i="14"/>
  <c r="AA287" i="14"/>
  <c r="W244" i="14"/>
  <c r="AA206" i="14"/>
  <c r="AA144" i="14"/>
  <c r="W101" i="14"/>
  <c r="AA159" i="14"/>
  <c r="W103" i="14"/>
  <c r="W324" i="14"/>
  <c r="W274" i="14"/>
  <c r="AA284" i="14"/>
  <c r="AA61" i="14"/>
  <c r="AA196" i="14"/>
  <c r="W287" i="14"/>
  <c r="AA290" i="14"/>
  <c r="W221" i="14"/>
  <c r="W267" i="14"/>
  <c r="AA271" i="14"/>
  <c r="W143" i="14"/>
  <c r="W265" i="14"/>
  <c r="W32" i="14"/>
  <c r="AA256" i="14"/>
  <c r="AA103" i="14"/>
  <c r="AA241" i="14"/>
  <c r="W237" i="14"/>
  <c r="W313" i="14"/>
  <c r="W114" i="14"/>
  <c r="AA310" i="14"/>
  <c r="W29" i="14"/>
  <c r="W154" i="14"/>
  <c r="AA300" i="14"/>
  <c r="AA38" i="14"/>
  <c r="AA246" i="14"/>
  <c r="AA64" i="14"/>
  <c r="AA78" i="14"/>
  <c r="W321" i="14"/>
  <c r="AA340" i="14"/>
  <c r="D4" i="9"/>
  <c r="D14" i="11" s="1"/>
  <c r="E14" i="11" s="1"/>
  <c r="Q41" i="15"/>
  <c r="AA208" i="14"/>
  <c r="AA230" i="14"/>
  <c r="W341" i="14"/>
  <c r="W115" i="14"/>
  <c r="AA100" i="14"/>
  <c r="AA224" i="14"/>
  <c r="W337" i="14"/>
  <c r="W350" i="14"/>
  <c r="AA237" i="14"/>
  <c r="Q44" i="15"/>
  <c r="AA281" i="14"/>
  <c r="AA36" i="14"/>
  <c r="AA83" i="14"/>
  <c r="AA291" i="14"/>
  <c r="AA111" i="14"/>
  <c r="AA93" i="14"/>
  <c r="W72" i="14"/>
  <c r="AA253" i="14"/>
  <c r="AA99" i="14"/>
  <c r="W76" i="14"/>
  <c r="AA297" i="14"/>
  <c r="W236" i="14"/>
  <c r="AA285" i="14"/>
  <c r="W131" i="14"/>
  <c r="W315" i="14"/>
  <c r="W173" i="14"/>
  <c r="W225" i="14"/>
  <c r="W126" i="14"/>
  <c r="AA318" i="14"/>
  <c r="AA277" i="14"/>
  <c r="W234" i="14"/>
  <c r="W202" i="14"/>
  <c r="AA187" i="14"/>
  <c r="W258" i="14"/>
  <c r="W205" i="14"/>
  <c r="AA304" i="14"/>
  <c r="W95" i="14"/>
  <c r="AA112" i="14"/>
  <c r="W153" i="14"/>
  <c r="AA30" i="14"/>
  <c r="W89" i="14"/>
  <c r="W340" i="14"/>
  <c r="AA42" i="14"/>
  <c r="AA72" i="14"/>
  <c r="W130" i="14"/>
  <c r="W304" i="14"/>
  <c r="AA44" i="14"/>
  <c r="AA264" i="14"/>
  <c r="W322" i="14"/>
  <c r="W349" i="14"/>
  <c r="AA181" i="14"/>
  <c r="AA364" i="14"/>
  <c r="W363" i="14"/>
  <c r="AA335" i="14"/>
  <c r="W296" i="14"/>
  <c r="AA89" i="14"/>
  <c r="W312" i="14"/>
  <c r="AA194" i="14"/>
  <c r="AA180" i="14"/>
  <c r="D11" i="9"/>
  <c r="AA315" i="14"/>
  <c r="W259" i="14"/>
  <c r="AA156" i="14"/>
  <c r="W56" i="14"/>
  <c r="AA84" i="14"/>
  <c r="AA87" i="14"/>
  <c r="AA324" i="14"/>
  <c r="AA282" i="14"/>
  <c r="AA138" i="14"/>
  <c r="W359" i="14"/>
  <c r="AA127" i="14"/>
  <c r="W361" i="14"/>
  <c r="W209" i="14"/>
  <c r="W52" i="14"/>
  <c r="AA95" i="14"/>
  <c r="AA303" i="14"/>
  <c r="AA270" i="14"/>
  <c r="W307" i="14"/>
  <c r="AA259" i="14"/>
  <c r="W260" i="14"/>
  <c r="AA321" i="14"/>
  <c r="AA286" i="14"/>
  <c r="W308" i="14"/>
  <c r="W175" i="14"/>
  <c r="W137" i="14"/>
  <c r="AA183" i="14"/>
  <c r="AA67" i="14"/>
  <c r="AA132" i="14"/>
  <c r="W104" i="14"/>
  <c r="AA40" i="14"/>
  <c r="AA234" i="14"/>
  <c r="AA331" i="14"/>
  <c r="W305" i="14"/>
  <c r="AA80" i="14"/>
  <c r="W235" i="14"/>
  <c r="W264" i="14"/>
  <c r="W316" i="14"/>
  <c r="AA174" i="14"/>
  <c r="W330" i="14"/>
  <c r="T4" i="9"/>
  <c r="C38" i="11" s="1"/>
  <c r="W286" i="14"/>
  <c r="AA134" i="14"/>
  <c r="AA62" i="14"/>
  <c r="AA152" i="14"/>
  <c r="AA193" i="14"/>
  <c r="W232" i="14"/>
  <c r="AA57" i="14"/>
  <c r="AA333" i="14"/>
  <c r="W112" i="14"/>
  <c r="W47" i="14"/>
  <c r="AA344" i="14"/>
  <c r="AA269" i="14"/>
  <c r="AA306" i="14"/>
  <c r="W249" i="14"/>
  <c r="AA126" i="14"/>
  <c r="W117" i="14"/>
  <c r="D28" i="11" s="1"/>
  <c r="E28" i="11" s="1"/>
  <c r="AA165" i="14"/>
  <c r="AA120" i="14"/>
  <c r="AA293" i="14"/>
  <c r="AA46" i="14"/>
  <c r="W336" i="14"/>
  <c r="W275" i="14"/>
  <c r="W326" i="14"/>
  <c r="AA332" i="14"/>
  <c r="W318" i="14"/>
  <c r="Q46" i="15"/>
  <c r="W368" i="14"/>
  <c r="W157" i="14"/>
  <c r="W71" i="14"/>
  <c r="AA135" i="14"/>
  <c r="W113" i="14"/>
  <c r="W74" i="14"/>
  <c r="AA105" i="14"/>
  <c r="AA311" i="14"/>
  <c r="W348" i="14"/>
  <c r="W212" i="14"/>
  <c r="W158" i="14"/>
  <c r="W64" i="14"/>
  <c r="W270" i="14"/>
  <c r="AA124" i="14"/>
  <c r="AA137" i="14"/>
  <c r="W261" i="14"/>
  <c r="W55" i="14"/>
  <c r="W51" i="14"/>
  <c r="W246" i="14"/>
  <c r="W132" i="14"/>
  <c r="W43" i="14"/>
  <c r="D4" i="10"/>
  <c r="D15" i="11" s="1"/>
  <c r="E15" i="11" s="1"/>
  <c r="Q38" i="15"/>
  <c r="AA133" i="14"/>
  <c r="AA366" i="14"/>
  <c r="W346" i="14"/>
  <c r="AA158" i="14"/>
  <c r="W155" i="14"/>
  <c r="AA63" i="14"/>
  <c r="W250" i="14"/>
  <c r="W360" i="14"/>
  <c r="AA185" i="14"/>
  <c r="W75" i="14"/>
  <c r="W192" i="14"/>
  <c r="AA262" i="14"/>
  <c r="W224" i="14"/>
  <c r="W220" i="14"/>
  <c r="AA308" i="14"/>
  <c r="W354" i="14"/>
  <c r="W276" i="14"/>
  <c r="AA240" i="14"/>
  <c r="W60" i="14"/>
  <c r="W147" i="14"/>
  <c r="AA160" i="14"/>
  <c r="Q49" i="15"/>
  <c r="W46" i="14"/>
  <c r="AA171" i="14"/>
  <c r="AA325" i="14"/>
  <c r="AA35" i="14"/>
  <c r="W182" i="14"/>
  <c r="W91" i="14"/>
  <c r="AA28" i="14"/>
  <c r="W278" i="14"/>
  <c r="AA110" i="14"/>
  <c r="W34" i="14"/>
  <c r="W123" i="14"/>
  <c r="AA302" i="14"/>
  <c r="AA209" i="14"/>
  <c r="AA223" i="14"/>
  <c r="AA119" i="14"/>
  <c r="W42" i="14"/>
  <c r="AA116" i="14"/>
  <c r="AA275" i="14"/>
  <c r="AA190" i="14"/>
  <c r="AA255" i="14"/>
  <c r="W120" i="14"/>
  <c r="AA155" i="14"/>
  <c r="W291" i="14"/>
  <c r="AA106" i="14"/>
  <c r="W181" i="14"/>
  <c r="AA216" i="14"/>
  <c r="AA90" i="14"/>
  <c r="AA167" i="14"/>
  <c r="W199" i="14"/>
  <c r="W298" i="14"/>
  <c r="W176" i="14"/>
  <c r="AA322" i="14"/>
  <c r="AA34" i="14"/>
  <c r="W80" i="14"/>
  <c r="AA109" i="14"/>
  <c r="AA227" i="14"/>
  <c r="W84" i="14"/>
  <c r="AA102" i="14"/>
  <c r="AA245" i="14"/>
  <c r="AA336" i="14"/>
  <c r="W166" i="14"/>
  <c r="W295" i="14"/>
  <c r="AA81" i="14"/>
  <c r="W289" i="14"/>
  <c r="W167" i="14"/>
  <c r="W327" i="14"/>
  <c r="W105" i="14"/>
  <c r="W197" i="14"/>
  <c r="AA41" i="14"/>
  <c r="AA70" i="14"/>
  <c r="AA235" i="14"/>
  <c r="W121" i="14"/>
  <c r="W282" i="14"/>
  <c r="W227" i="14"/>
  <c r="W188" i="14"/>
  <c r="AA91" i="14"/>
  <c r="W160" i="14"/>
  <c r="W99" i="14"/>
  <c r="W48" i="14"/>
  <c r="W198" i="14"/>
  <c r="W156" i="14"/>
  <c r="W231" i="14"/>
  <c r="W300" i="14"/>
  <c r="W257" i="14"/>
  <c r="AA243" i="14"/>
  <c r="W119" i="14"/>
  <c r="W347" i="14"/>
  <c r="W63" i="14"/>
  <c r="AA257" i="14"/>
  <c r="AA143" i="14"/>
  <c r="AA39" i="14"/>
  <c r="W285" i="14"/>
  <c r="W366" i="14"/>
  <c r="AA197" i="14"/>
  <c r="AA301" i="14"/>
  <c r="W255" i="14"/>
  <c r="W106" i="14"/>
  <c r="W317" i="14"/>
  <c r="W62" i="14"/>
  <c r="W230" i="14"/>
  <c r="AA316" i="14"/>
  <c r="AA309" i="14"/>
  <c r="AA104" i="14"/>
  <c r="AA273" i="14"/>
  <c r="W162" i="14"/>
  <c r="W69" i="14"/>
  <c r="W345" i="14"/>
  <c r="AA139" i="14"/>
  <c r="AA142" i="14"/>
  <c r="W351" i="14"/>
  <c r="W116" i="14"/>
  <c r="W142" i="14"/>
  <c r="W272" i="14"/>
  <c r="AA140" i="14"/>
  <c r="W128" i="14"/>
  <c r="W207" i="14"/>
  <c r="AA108" i="14"/>
  <c r="W219" i="14"/>
  <c r="AA122" i="14"/>
  <c r="W90" i="14"/>
  <c r="AA73" i="14"/>
  <c r="AA265" i="14"/>
  <c r="AA189" i="14"/>
  <c r="AA236" i="14"/>
  <c r="AA341" i="14"/>
  <c r="AA283" i="14"/>
  <c r="W98" i="14"/>
  <c r="AA128" i="14"/>
  <c r="W334" i="14"/>
  <c r="Q43" i="15"/>
  <c r="W356" i="14"/>
  <c r="W306" i="14"/>
  <c r="W190" i="14"/>
  <c r="W159" i="14"/>
  <c r="W344" i="14"/>
  <c r="AA280" i="14"/>
  <c r="W242" i="14"/>
  <c r="AA43" i="14"/>
  <c r="W54" i="14"/>
  <c r="AA349" i="14"/>
  <c r="AA175" i="14"/>
  <c r="W223" i="14"/>
  <c r="W28" i="14"/>
  <c r="D39" i="11"/>
  <c r="AA305" i="14"/>
  <c r="AA323" i="14"/>
  <c r="Q40" i="15"/>
  <c r="AA53" i="14"/>
  <c r="W111" i="14"/>
  <c r="W87" i="14"/>
  <c r="AA94" i="14"/>
  <c r="AA239" i="14"/>
  <c r="AA348" i="14"/>
  <c r="W88" i="14"/>
  <c r="AA231" i="14"/>
  <c r="AA56" i="14"/>
  <c r="W369" i="14"/>
  <c r="AA163" i="14"/>
  <c r="AA251" i="14"/>
  <c r="W108" i="14"/>
  <c r="W353" i="14"/>
  <c r="AA254" i="14"/>
  <c r="AA338" i="14"/>
  <c r="W144" i="14"/>
  <c r="W319" i="14"/>
  <c r="W290" i="14"/>
  <c r="W37" i="14"/>
  <c r="AA357" i="14"/>
  <c r="AA289" i="14"/>
  <c r="AA170" i="14"/>
  <c r="W284" i="14"/>
  <c r="AA96" i="14"/>
  <c r="AA212" i="14"/>
  <c r="AA220" i="14"/>
  <c r="AA49" i="14"/>
  <c r="W297" i="14"/>
  <c r="W163" i="14"/>
  <c r="W50" i="14"/>
  <c r="W82" i="14"/>
  <c r="W57" i="14"/>
  <c r="W266" i="14"/>
  <c r="AA250" i="14"/>
  <c r="W191" i="14"/>
  <c r="W343" i="14"/>
  <c r="AA363" i="14"/>
  <c r="AA314" i="14"/>
  <c r="AA131" i="14"/>
  <c r="AA226" i="14"/>
  <c r="W323" i="14"/>
  <c r="R4" i="10"/>
  <c r="D33" i="11" s="1"/>
  <c r="E33" i="11" s="1"/>
  <c r="W129" i="14"/>
  <c r="AA330" i="14"/>
  <c r="W342" i="14"/>
  <c r="AA121" i="14"/>
  <c r="AA347" i="14"/>
  <c r="AA118" i="14"/>
  <c r="W269" i="14"/>
  <c r="AA55" i="14"/>
  <c r="W41" i="14"/>
  <c r="AA86" i="14"/>
  <c r="W186" i="14"/>
  <c r="AA329" i="14"/>
  <c r="AA319" i="14"/>
  <c r="AA125" i="14"/>
  <c r="AA368" i="14"/>
  <c r="AA66" i="14"/>
  <c r="AA129" i="14"/>
  <c r="W146" i="14"/>
  <c r="AA354" i="14"/>
  <c r="W299" i="14"/>
  <c r="W314" i="14"/>
  <c r="W180" i="14"/>
  <c r="W40" i="14"/>
  <c r="AA203" i="14"/>
  <c r="AA292" i="14"/>
  <c r="AA356" i="14"/>
  <c r="W240" i="14"/>
  <c r="AA98" i="14"/>
  <c r="W217" i="14"/>
  <c r="AA169" i="14"/>
  <c r="AA161" i="14"/>
  <c r="W248" i="14"/>
  <c r="W102" i="14"/>
  <c r="W283" i="14"/>
  <c r="W263" i="14"/>
  <c r="W110" i="14"/>
  <c r="AA153" i="14"/>
  <c r="W139" i="14"/>
  <c r="AA225" i="14"/>
  <c r="AA233" i="14"/>
  <c r="AA69" i="14"/>
  <c r="W215" i="14"/>
  <c r="Q42" i="15"/>
  <c r="AA151" i="14"/>
  <c r="W164" i="14"/>
  <c r="W169" i="14"/>
  <c r="AA353" i="14"/>
  <c r="W97" i="14"/>
  <c r="W124" i="14"/>
  <c r="AA258" i="14"/>
  <c r="AA369" i="14"/>
  <c r="W149" i="14"/>
  <c r="AA232" i="14"/>
  <c r="W184" i="14"/>
  <c r="W251" i="14"/>
  <c r="W279" i="14"/>
  <c r="W303" i="14"/>
  <c r="AA361" i="14"/>
  <c r="AA207" i="14"/>
  <c r="W320" i="14"/>
  <c r="W293" i="14"/>
  <c r="W59" i="14"/>
  <c r="AA320" i="14"/>
  <c r="W70" i="14"/>
  <c r="AA213" i="14"/>
  <c r="AA222" i="14"/>
  <c r="AA339" i="14"/>
  <c r="AA298" i="14"/>
  <c r="AA350" i="14"/>
  <c r="AA182" i="14"/>
  <c r="AA358" i="14"/>
  <c r="W179" i="14"/>
  <c r="AA33" i="14"/>
  <c r="AA345" i="14"/>
  <c r="AA205" i="14"/>
  <c r="AA31" i="14"/>
  <c r="AA294" i="14"/>
  <c r="W45" i="14"/>
  <c r="AA179" i="14"/>
  <c r="W49" i="14"/>
  <c r="AA367" i="14"/>
  <c r="W122" i="14"/>
  <c r="AA107" i="14"/>
  <c r="W339" i="14"/>
  <c r="W185" i="14"/>
  <c r="W196" i="14"/>
  <c r="W96" i="14"/>
  <c r="Q4" i="9"/>
  <c r="D38" i="11"/>
  <c r="E38" i="11" s="1"/>
  <c r="AA130" i="14"/>
  <c r="AA252" i="14"/>
  <c r="W38" i="14"/>
  <c r="W338" i="14"/>
  <c r="AA173" i="14"/>
  <c r="AA328" i="14"/>
  <c r="W127" i="14"/>
  <c r="AA211" i="14"/>
  <c r="W36" i="14"/>
  <c r="AA50" i="14"/>
  <c r="W277" i="14"/>
  <c r="W268" i="14"/>
  <c r="AA65" i="14"/>
  <c r="AA365" i="14"/>
  <c r="W280" i="14"/>
  <c r="W193" i="14"/>
  <c r="AA101" i="14"/>
  <c r="W94" i="14"/>
  <c r="AA148" i="14"/>
  <c r="AA60" i="14"/>
  <c r="AA178" i="14"/>
  <c r="AA343" i="14"/>
  <c r="AA295" i="14"/>
  <c r="W333" i="14"/>
  <c r="W145" i="14"/>
  <c r="W171" i="14"/>
  <c r="W247" i="14"/>
  <c r="AA360" i="14"/>
  <c r="W66" i="14"/>
  <c r="W73" i="14"/>
  <c r="W352" i="14"/>
  <c r="W238" i="14"/>
  <c r="AA71" i="14"/>
  <c r="W68" i="14"/>
  <c r="AA147" i="14"/>
  <c r="W78" i="14"/>
  <c r="AA117" i="14"/>
  <c r="D10" i="11" s="1"/>
  <c r="AA113" i="14"/>
  <c r="Q48" i="15"/>
  <c r="W135" i="14"/>
  <c r="AA248" i="14"/>
  <c r="W310" i="14"/>
  <c r="W35" i="14"/>
  <c r="W214" i="14"/>
  <c r="W243" i="14"/>
  <c r="W331" i="14"/>
  <c r="AA334" i="14"/>
  <c r="W151" i="14"/>
  <c r="W228" i="14"/>
  <c r="W213" i="14"/>
  <c r="W118" i="14"/>
  <c r="AA154" i="14"/>
  <c r="AA260" i="14"/>
  <c r="AA200" i="14"/>
  <c r="AA274" i="14"/>
  <c r="W133" i="14"/>
  <c r="AA77" i="14"/>
  <c r="W187" i="14"/>
  <c r="W294" i="14"/>
  <c r="AA88" i="14"/>
  <c r="W81" i="14"/>
  <c r="W204" i="14"/>
  <c r="AA32" i="14"/>
  <c r="AA192" i="14"/>
  <c r="AA288" i="14"/>
  <c r="W329" i="14"/>
  <c r="W148" i="14"/>
  <c r="W93" i="14"/>
  <c r="AA267" i="14"/>
  <c r="AA114" i="14"/>
  <c r="W140" i="14"/>
  <c r="AA76" i="14"/>
  <c r="W39" i="14"/>
  <c r="AA261" i="14"/>
  <c r="AA146" i="14"/>
  <c r="AA51" i="14"/>
  <c r="W178" i="14"/>
  <c r="W203" i="14"/>
  <c r="W100" i="14"/>
  <c r="AA219" i="14"/>
  <c r="AA201" i="14"/>
  <c r="W172" i="14"/>
  <c r="AA359" i="14"/>
  <c r="W183" i="14"/>
  <c r="W31" i="14"/>
  <c r="W136" i="14"/>
  <c r="W254" i="14"/>
  <c r="W332" i="14"/>
  <c r="AA342" i="14"/>
  <c r="W30" i="14"/>
  <c r="AA313" i="14"/>
  <c r="AA45" i="14"/>
  <c r="AA184" i="14"/>
  <c r="AA214" i="14"/>
  <c r="AA279" i="14"/>
  <c r="Q45" i="15"/>
  <c r="W67" i="14"/>
  <c r="AA141" i="14"/>
  <c r="W138" i="14"/>
  <c r="AA299" i="14"/>
  <c r="AA164" i="14"/>
  <c r="W170" i="14"/>
  <c r="W86" i="14"/>
  <c r="W218" i="14"/>
  <c r="AA228" i="14"/>
  <c r="W177" i="14"/>
  <c r="W210" i="14"/>
  <c r="AA210" i="14"/>
  <c r="W65" i="14"/>
  <c r="W216" i="14"/>
  <c r="AA186" i="14"/>
  <c r="W109" i="14"/>
  <c r="W150" i="14"/>
  <c r="W85" i="14"/>
  <c r="AA202" i="14"/>
  <c r="AA351" i="14"/>
  <c r="W134" i="14"/>
  <c r="AA307" i="14"/>
  <c r="W302" i="14"/>
  <c r="W325" i="14"/>
  <c r="W271" i="14"/>
  <c r="AA195" i="14"/>
  <c r="W165" i="14"/>
  <c r="AA68" i="14"/>
  <c r="W107" i="14"/>
  <c r="AA157" i="14"/>
  <c r="W288" i="14"/>
  <c r="AA199" i="14"/>
  <c r="AA149" i="14"/>
  <c r="AA29" i="14"/>
  <c r="W152" i="14"/>
  <c r="AA266" i="14"/>
  <c r="AA92" i="14"/>
  <c r="W168" i="14"/>
  <c r="W358" i="14"/>
  <c r="AA54" i="14"/>
  <c r="W309" i="14"/>
  <c r="AA221" i="14"/>
  <c r="AA268" i="14"/>
  <c r="W61" i="14"/>
  <c r="W141" i="14"/>
  <c r="AA276" i="14"/>
  <c r="D18" i="9"/>
  <c r="AA162" i="14"/>
  <c r="AA244" i="14"/>
  <c r="W195" i="14"/>
  <c r="W201" i="14"/>
  <c r="W206" i="14"/>
  <c r="AA229" i="14"/>
  <c r="AA327" i="14"/>
  <c r="W328" i="14"/>
  <c r="W311" i="14"/>
  <c r="W357" i="14"/>
  <c r="W365" i="14"/>
  <c r="AA355" i="14"/>
  <c r="Q4" i="10"/>
  <c r="C39" i="11" s="1"/>
  <c r="AA218" i="14"/>
  <c r="W364" i="14"/>
  <c r="W252" i="14"/>
  <c r="W79" i="14"/>
  <c r="AA75" i="14"/>
  <c r="AA168" i="14"/>
  <c r="W208" i="14"/>
  <c r="W355" i="14"/>
  <c r="W174" i="14"/>
  <c r="W273" i="14"/>
  <c r="AA47" i="14"/>
  <c r="AA215" i="14"/>
  <c r="W53" i="14"/>
  <c r="W77" i="14"/>
  <c r="AA59" i="14"/>
  <c r="AA272" i="14"/>
  <c r="W92" i="14"/>
  <c r="AA79" i="14"/>
  <c r="W200" i="14"/>
  <c r="W262" i="14"/>
  <c r="W161" i="14"/>
  <c r="AA82" i="14"/>
  <c r="AA85" i="14"/>
  <c r="W241" i="14"/>
  <c r="AA166" i="14"/>
  <c r="AA198" i="14"/>
  <c r="AA188" i="14"/>
  <c r="AA136" i="14"/>
  <c r="AA123" i="14"/>
  <c r="AA278" i="14"/>
  <c r="AA204" i="14"/>
  <c r="AA217" i="14"/>
  <c r="W335" i="14"/>
  <c r="W256" i="14"/>
  <c r="AA337" i="14"/>
  <c r="E10" i="11"/>
  <c r="AO233" i="14"/>
  <c r="AO125" i="14"/>
  <c r="AO211" i="14"/>
  <c r="AO103" i="14"/>
  <c r="AO274" i="14"/>
  <c r="AO221" i="14"/>
  <c r="AO313" i="14"/>
  <c r="AO205" i="14"/>
  <c r="AO361" i="14"/>
  <c r="AO52" i="14"/>
  <c r="AO307" i="14"/>
  <c r="AO260" i="14"/>
  <c r="AO137" i="14"/>
  <c r="AO235" i="14"/>
  <c r="AO330" i="14"/>
  <c r="AO249" i="14"/>
  <c r="AO318" i="14"/>
  <c r="AO74" i="14"/>
  <c r="AO348" i="14"/>
  <c r="AO158" i="14"/>
  <c r="AO270" i="14"/>
  <c r="AO261" i="14"/>
  <c r="AO51" i="14"/>
  <c r="AO132" i="14"/>
  <c r="AO346" i="14"/>
  <c r="AO360" i="14"/>
  <c r="AO276" i="14"/>
  <c r="AO91" i="14"/>
  <c r="AO123" i="14"/>
  <c r="AO120" i="14"/>
  <c r="AO282" i="14"/>
  <c r="AO188" i="14"/>
  <c r="AO119" i="14"/>
  <c r="AO63" i="14"/>
  <c r="AO207" i="14"/>
  <c r="AO356" i="14"/>
  <c r="AO190" i="14"/>
  <c r="AO344" i="14"/>
  <c r="AO292" i="14"/>
  <c r="AO58" i="14"/>
  <c r="AO362" i="14"/>
  <c r="AO239" i="14"/>
  <c r="AO222" i="14"/>
  <c r="AO44" i="14"/>
  <c r="AO367" i="14"/>
  <c r="AO33" i="14"/>
  <c r="AO244" i="14"/>
  <c r="AO101" i="14"/>
  <c r="AO287" i="14"/>
  <c r="AO143" i="14"/>
  <c r="AO32" i="14"/>
  <c r="AO29" i="14"/>
  <c r="AO341" i="14"/>
  <c r="AO350" i="14"/>
  <c r="AO131" i="14"/>
  <c r="AO173" i="14"/>
  <c r="AO126" i="14"/>
  <c r="AO234" i="14"/>
  <c r="AO89" i="14"/>
  <c r="AO304" i="14"/>
  <c r="AO322" i="14"/>
  <c r="AO312" i="14"/>
  <c r="AO359" i="14"/>
  <c r="AO175" i="14"/>
  <c r="AO104" i="14"/>
  <c r="AO316" i="14"/>
  <c r="AO232" i="14"/>
  <c r="AO112" i="14"/>
  <c r="AO336" i="14"/>
  <c r="AO326" i="14"/>
  <c r="AO301" i="14"/>
  <c r="AO253" i="14"/>
  <c r="AO245" i="14"/>
  <c r="AO324" i="14"/>
  <c r="AO267" i="14"/>
  <c r="AO237" i="14"/>
  <c r="AO114" i="14"/>
  <c r="AO321" i="14"/>
  <c r="AO236" i="14"/>
  <c r="AO258" i="14"/>
  <c r="AO153" i="14"/>
  <c r="AO296" i="14"/>
  <c r="AO56" i="14"/>
  <c r="AO209" i="14"/>
  <c r="AO305" i="14"/>
  <c r="AO113" i="14"/>
  <c r="AO212" i="14"/>
  <c r="AO55" i="14"/>
  <c r="AO246" i="14"/>
  <c r="AO43" i="14"/>
  <c r="AO250" i="14"/>
  <c r="D31" i="11"/>
  <c r="AO192" i="14"/>
  <c r="AO354" i="14"/>
  <c r="AO182" i="14"/>
  <c r="AO34" i="14"/>
  <c r="AO42" i="14"/>
  <c r="AO181" i="14"/>
  <c r="AO295" i="14"/>
  <c r="AO121" i="14"/>
  <c r="AO227" i="14"/>
  <c r="AO347" i="14"/>
  <c r="AO219" i="14"/>
  <c r="AO90" i="14"/>
  <c r="AO98" i="14"/>
  <c r="AO306" i="14"/>
  <c r="AO159" i="14"/>
  <c r="AO54" i="14"/>
  <c r="AO223" i="14"/>
  <c r="AO88" i="14"/>
  <c r="AO108" i="14"/>
  <c r="AO319" i="14"/>
  <c r="AO37" i="14"/>
  <c r="AO191" i="14"/>
  <c r="AO323" i="14"/>
  <c r="AO299" i="14"/>
  <c r="AO180" i="14"/>
  <c r="AO102" i="14"/>
  <c r="AO263" i="14"/>
  <c r="AO169" i="14"/>
  <c r="AO184" i="14"/>
  <c r="AO279" i="14"/>
  <c r="AO293" i="14"/>
  <c r="AO70" i="14"/>
  <c r="AO49" i="14"/>
  <c r="AO185" i="14"/>
  <c r="AO338" i="14"/>
  <c r="AO268" i="14"/>
  <c r="AO280" i="14"/>
  <c r="AO333" i="14"/>
  <c r="AO171" i="14"/>
  <c r="AO66" i="14"/>
  <c r="AO194" i="14"/>
  <c r="AO189" i="14"/>
  <c r="AO229" i="14"/>
  <c r="AO83" i="14"/>
  <c r="AO226" i="14"/>
  <c r="AO281" i="14"/>
  <c r="AO265" i="14"/>
  <c r="AO154" i="14"/>
  <c r="AO115" i="14"/>
  <c r="AO337" i="14"/>
  <c r="AO72" i="14"/>
  <c r="AO76" i="14"/>
  <c r="AO315" i="14"/>
  <c r="AO225" i="14"/>
  <c r="AO202" i="14"/>
  <c r="AO95" i="14"/>
  <c r="AO340" i="14"/>
  <c r="AO130" i="14"/>
  <c r="AO349" i="14"/>
  <c r="AO363" i="14"/>
  <c r="AO259" i="14"/>
  <c r="AO308" i="14"/>
  <c r="AO264" i="14"/>
  <c r="AO286" i="14"/>
  <c r="AO47" i="14"/>
  <c r="AO117" i="14"/>
  <c r="AO275" i="14"/>
  <c r="AO368" i="14"/>
  <c r="AO71" i="14"/>
  <c r="AO155" i="14"/>
  <c r="AO75" i="14"/>
  <c r="AO220" i="14"/>
  <c r="AO60" i="14"/>
  <c r="AO278" i="14"/>
  <c r="AO291" i="14"/>
  <c r="AO199" i="14"/>
  <c r="AO176" i="14"/>
  <c r="AO80" i="14"/>
  <c r="AO84" i="14"/>
  <c r="AO166" i="14"/>
  <c r="AO167" i="14"/>
  <c r="AO105" i="14"/>
  <c r="AO160" i="14"/>
  <c r="AO48" i="14"/>
  <c r="AO156" i="14"/>
  <c r="AO300" i="14"/>
  <c r="AO366" i="14"/>
  <c r="AO255" i="14"/>
  <c r="AO317" i="14"/>
  <c r="AO230" i="14"/>
  <c r="AO69" i="14"/>
  <c r="AO116" i="14"/>
  <c r="AO272" i="14"/>
  <c r="AO242" i="14"/>
  <c r="AO111" i="14"/>
  <c r="AO353" i="14"/>
  <c r="AO284" i="14"/>
  <c r="AO163" i="14"/>
  <c r="AO82" i="14"/>
  <c r="AO266" i="14"/>
  <c r="AO186" i="14"/>
  <c r="AO146" i="14"/>
  <c r="AO217" i="14"/>
  <c r="AO139" i="14"/>
  <c r="AO124" i="14"/>
  <c r="AO149" i="14"/>
  <c r="AO59" i="14"/>
  <c r="AO45" i="14"/>
  <c r="AO196" i="14"/>
  <c r="AO96" i="14"/>
  <c r="AO94" i="14"/>
  <c r="AO352" i="14"/>
  <c r="AO68" i="14"/>
  <c r="AO78" i="14"/>
  <c r="AO310" i="14"/>
  <c r="AO214" i="14"/>
  <c r="AO331" i="14"/>
  <c r="AO294" i="14"/>
  <c r="AO203" i="14"/>
  <c r="AO183" i="14"/>
  <c r="AO136" i="14"/>
  <c r="AO30" i="14"/>
  <c r="AO67" i="14"/>
  <c r="AO109" i="14"/>
  <c r="AO85" i="14"/>
  <c r="AO134" i="14"/>
  <c r="AO107" i="14"/>
  <c r="AO288" i="14"/>
  <c r="AO141" i="14"/>
  <c r="AO77" i="14"/>
  <c r="AO92" i="14"/>
  <c r="AO200" i="14"/>
  <c r="AO161" i="14"/>
  <c r="AO241" i="14"/>
  <c r="AO256" i="14"/>
  <c r="AO197" i="14"/>
  <c r="AO257" i="14"/>
  <c r="AO345" i="14"/>
  <c r="AO351" i="14"/>
  <c r="AO369" i="14"/>
  <c r="AO290" i="14"/>
  <c r="AO248" i="14"/>
  <c r="AO303" i="14"/>
  <c r="AO320" i="14"/>
  <c r="AO122" i="14"/>
  <c r="AO38" i="14"/>
  <c r="AO127" i="14"/>
  <c r="AO36" i="14"/>
  <c r="AO133" i="14"/>
  <c r="AO81" i="14"/>
  <c r="AO148" i="14"/>
  <c r="AO302" i="14"/>
  <c r="AO271" i="14"/>
  <c r="AO152" i="14"/>
  <c r="AO168" i="14"/>
  <c r="AO195" i="14"/>
  <c r="AO206" i="14"/>
  <c r="AO328" i="14"/>
  <c r="AO273" i="14"/>
  <c r="AO157" i="14"/>
  <c r="AO224" i="14"/>
  <c r="AO147" i="14"/>
  <c r="AO46" i="14"/>
  <c r="AO327" i="14"/>
  <c r="AO231" i="14"/>
  <c r="AO285" i="14"/>
  <c r="AO162" i="14"/>
  <c r="AO87" i="14"/>
  <c r="AO144" i="14"/>
  <c r="AO50" i="14"/>
  <c r="AO57" i="14"/>
  <c r="AO342" i="14"/>
  <c r="AO41" i="14"/>
  <c r="AO40" i="14"/>
  <c r="AO215" i="14"/>
  <c r="AO164" i="14"/>
  <c r="AO97" i="14"/>
  <c r="AO251" i="14"/>
  <c r="AO179" i="14"/>
  <c r="AO193" i="14"/>
  <c r="AO238" i="14"/>
  <c r="AO243" i="14"/>
  <c r="AO151" i="14"/>
  <c r="AO213" i="14"/>
  <c r="AO254" i="14"/>
  <c r="AO86" i="14"/>
  <c r="AO216" i="14"/>
  <c r="AO150" i="14"/>
  <c r="AO309" i="14"/>
  <c r="AO61" i="14"/>
  <c r="AO201" i="14"/>
  <c r="AO311" i="14"/>
  <c r="AO365" i="14"/>
  <c r="AO252" i="14"/>
  <c r="AO355" i="14"/>
  <c r="AO53" i="14"/>
  <c r="AO262" i="14"/>
  <c r="AO247" i="14"/>
  <c r="AO73" i="14"/>
  <c r="AO135" i="14"/>
  <c r="AO35" i="14"/>
  <c r="AO204" i="14"/>
  <c r="AO329" i="14"/>
  <c r="AO140" i="14"/>
  <c r="AO39" i="14"/>
  <c r="AO100" i="14"/>
  <c r="AO172" i="14"/>
  <c r="AO31" i="14"/>
  <c r="AO138" i="14"/>
  <c r="AO177" i="14"/>
  <c r="AO325" i="14"/>
  <c r="AO358" i="14"/>
  <c r="AO170" i="14"/>
  <c r="AO218" i="14"/>
  <c r="AO210" i="14"/>
  <c r="AO65" i="14"/>
  <c r="AO165" i="14"/>
  <c r="AO357" i="14"/>
  <c r="AO364" i="14"/>
  <c r="AO79" i="14"/>
  <c r="AO208" i="14"/>
  <c r="AO174" i="14"/>
  <c r="AO335" i="14"/>
  <c r="AO289" i="14"/>
  <c r="AO198" i="14"/>
  <c r="AO62" i="14"/>
  <c r="AO128" i="14"/>
  <c r="AO334" i="14"/>
  <c r="AO28" i="14"/>
  <c r="AO343" i="14"/>
  <c r="AO129" i="14"/>
  <c r="AO269" i="14"/>
  <c r="AO314" i="14"/>
  <c r="AO240" i="14"/>
  <c r="AO110" i="14"/>
  <c r="AO64" i="14"/>
  <c r="AO298" i="14"/>
  <c r="AO99" i="14"/>
  <c r="AO106" i="14"/>
  <c r="AO142" i="14"/>
  <c r="AO297" i="14"/>
  <c r="AO283" i="14"/>
  <c r="AO339" i="14"/>
  <c r="AO277" i="14"/>
  <c r="AO145" i="14"/>
  <c r="AO228" i="14"/>
  <c r="AO118" i="14"/>
  <c r="AO187" i="14"/>
  <c r="AO93" i="14"/>
  <c r="AO178" i="14"/>
  <c r="AO332" i="14"/>
  <c r="S4" i="10" l="1"/>
  <c r="D36" i="11" s="1"/>
  <c r="E36" i="11" s="1"/>
  <c r="V4" i="9"/>
  <c r="D35" i="11" s="1"/>
  <c r="E35" i="11" s="1"/>
  <c r="E31" i="11"/>
  <c r="U45" i="15"/>
  <c r="X45" i="15" s="1"/>
  <c r="Z45" i="15"/>
  <c r="R45" i="14"/>
  <c r="Q45" i="14"/>
  <c r="P45" i="14"/>
  <c r="R359" i="14"/>
  <c r="Q359" i="14"/>
  <c r="P359" i="14"/>
  <c r="Q219" i="14"/>
  <c r="P219" i="14"/>
  <c r="R219" i="14"/>
  <c r="R261" i="14"/>
  <c r="P261" i="14"/>
  <c r="Q261" i="14"/>
  <c r="P32" i="14"/>
  <c r="R32" i="14"/>
  <c r="Q32" i="14"/>
  <c r="Q274" i="14"/>
  <c r="P274" i="14"/>
  <c r="R274" i="14"/>
  <c r="Q334" i="14"/>
  <c r="P334" i="14"/>
  <c r="R334" i="14"/>
  <c r="Q248" i="14"/>
  <c r="P248" i="14"/>
  <c r="R248" i="14"/>
  <c r="P113" i="14"/>
  <c r="R113" i="14"/>
  <c r="Q113" i="14"/>
  <c r="Q360" i="14"/>
  <c r="R360" i="14"/>
  <c r="P360" i="14"/>
  <c r="P328" i="14"/>
  <c r="Q328" i="14"/>
  <c r="R328" i="14"/>
  <c r="Q320" i="14"/>
  <c r="R320" i="14"/>
  <c r="P320" i="14"/>
  <c r="R258" i="14"/>
  <c r="Q258" i="14"/>
  <c r="P258" i="14"/>
  <c r="P153" i="14"/>
  <c r="R153" i="14"/>
  <c r="Q153" i="14"/>
  <c r="P354" i="14"/>
  <c r="Q354" i="14"/>
  <c r="R354" i="14"/>
  <c r="R363" i="14"/>
  <c r="P363" i="14"/>
  <c r="Q363" i="14"/>
  <c r="Q250" i="14"/>
  <c r="P250" i="14"/>
  <c r="O250" i="14" s="1"/>
  <c r="R250" i="14"/>
  <c r="Q212" i="14"/>
  <c r="R212" i="14"/>
  <c r="P212" i="14"/>
  <c r="Q289" i="14"/>
  <c r="P289" i="14"/>
  <c r="R289" i="14"/>
  <c r="Q251" i="14"/>
  <c r="P251" i="14"/>
  <c r="R251" i="14"/>
  <c r="P56" i="14"/>
  <c r="Q56" i="14"/>
  <c r="R56" i="14"/>
  <c r="P189" i="14"/>
  <c r="R189" i="14"/>
  <c r="Q189" i="14"/>
  <c r="R190" i="14"/>
  <c r="Q190" i="14"/>
  <c r="P190" i="14"/>
  <c r="R28" i="14"/>
  <c r="P28" i="14"/>
  <c r="F4" i="10"/>
  <c r="Q28" i="14"/>
  <c r="P158" i="14"/>
  <c r="R158" i="14"/>
  <c r="Q158" i="14"/>
  <c r="Z42" i="15"/>
  <c r="U42" i="15"/>
  <c r="X42" i="15" s="1"/>
  <c r="Q233" i="14"/>
  <c r="R233" i="14"/>
  <c r="P233" i="14"/>
  <c r="Q203" i="14"/>
  <c r="P203" i="14"/>
  <c r="R203" i="14"/>
  <c r="P86" i="14"/>
  <c r="Q86" i="14"/>
  <c r="R86" i="14"/>
  <c r="P121" i="14"/>
  <c r="R121" i="14"/>
  <c r="Q121" i="14"/>
  <c r="R226" i="14"/>
  <c r="P226" i="14"/>
  <c r="Q226" i="14"/>
  <c r="Q96" i="14"/>
  <c r="R96" i="14"/>
  <c r="F4" i="9"/>
  <c r="P96" i="14"/>
  <c r="Q254" i="14"/>
  <c r="R254" i="14"/>
  <c r="P254" i="14"/>
  <c r="Q53" i="14"/>
  <c r="P53" i="14"/>
  <c r="O53" i="14" s="1"/>
  <c r="R53" i="14"/>
  <c r="R34" i="14"/>
  <c r="Q34" i="14"/>
  <c r="P34" i="14"/>
  <c r="O34" i="14" s="1"/>
  <c r="P155" i="14"/>
  <c r="Q155" i="14"/>
  <c r="R155" i="14"/>
  <c r="P240" i="14"/>
  <c r="O240" i="14" s="1"/>
  <c r="Q240" i="14"/>
  <c r="R240" i="14"/>
  <c r="P124" i="14"/>
  <c r="R124" i="14"/>
  <c r="Q124" i="14"/>
  <c r="Q105" i="14"/>
  <c r="P105" i="14"/>
  <c r="R105" i="14"/>
  <c r="R278" i="14"/>
  <c r="Q278" i="14"/>
  <c r="P278" i="14"/>
  <c r="Q198" i="14"/>
  <c r="R198" i="14"/>
  <c r="P198" i="14"/>
  <c r="R82" i="14"/>
  <c r="P82" i="14"/>
  <c r="O82" i="14" s="1"/>
  <c r="Q82" i="14"/>
  <c r="R59" i="14"/>
  <c r="P59" i="14"/>
  <c r="Q59" i="14"/>
  <c r="P215" i="14"/>
  <c r="Q215" i="14"/>
  <c r="R215" i="14"/>
  <c r="Q355" i="14"/>
  <c r="R355" i="14"/>
  <c r="P355" i="14"/>
  <c r="Q276" i="14"/>
  <c r="P276" i="14"/>
  <c r="O276" i="14" s="1"/>
  <c r="R276" i="14"/>
  <c r="P202" i="14"/>
  <c r="Q202" i="14"/>
  <c r="R202" i="14"/>
  <c r="P123" i="14"/>
  <c r="Q123" i="14"/>
  <c r="R123" i="14"/>
  <c r="R166" i="14"/>
  <c r="P166" i="14"/>
  <c r="Q166" i="14"/>
  <c r="P79" i="14"/>
  <c r="R79" i="14"/>
  <c r="Q79" i="14"/>
  <c r="P221" i="14"/>
  <c r="Q221" i="14"/>
  <c r="R221" i="14"/>
  <c r="R92" i="14"/>
  <c r="Q92" i="14"/>
  <c r="P92" i="14"/>
  <c r="Q29" i="14"/>
  <c r="P29" i="14"/>
  <c r="R29" i="14"/>
  <c r="Q157" i="14"/>
  <c r="P157" i="14"/>
  <c r="R157" i="14"/>
  <c r="R307" i="14"/>
  <c r="Q307" i="14"/>
  <c r="P307" i="14"/>
  <c r="R186" i="14"/>
  <c r="P186" i="14"/>
  <c r="Q186" i="14"/>
  <c r="P279" i="14"/>
  <c r="O279" i="14" s="1"/>
  <c r="Q279" i="14"/>
  <c r="R279" i="14"/>
  <c r="P313" i="14"/>
  <c r="Q313" i="14"/>
  <c r="R313" i="14"/>
  <c r="P88" i="14"/>
  <c r="R88" i="14"/>
  <c r="Q88" i="14"/>
  <c r="R117" i="14"/>
  <c r="D19" i="11" s="1"/>
  <c r="E19" i="11" s="1"/>
  <c r="P117" i="14"/>
  <c r="D25" i="11" s="1"/>
  <c r="Q117" i="14"/>
  <c r="R101" i="14"/>
  <c r="Q101" i="14"/>
  <c r="P101" i="14"/>
  <c r="O101" i="14" s="1"/>
  <c r="R365" i="14"/>
  <c r="Q365" i="14"/>
  <c r="P365" i="14"/>
  <c r="Q294" i="14"/>
  <c r="R294" i="14"/>
  <c r="P294" i="14"/>
  <c r="Q33" i="14"/>
  <c r="P33" i="14"/>
  <c r="O33" i="14" s="1"/>
  <c r="R33" i="14"/>
  <c r="R182" i="14"/>
  <c r="Q182" i="14"/>
  <c r="P182" i="14"/>
  <c r="R222" i="14"/>
  <c r="P222" i="14"/>
  <c r="Q222" i="14"/>
  <c r="R232" i="14"/>
  <c r="Q232" i="14"/>
  <c r="P232" i="14"/>
  <c r="R337" i="14"/>
  <c r="Q337" i="14"/>
  <c r="P337" i="14"/>
  <c r="R168" i="14"/>
  <c r="Q168" i="14"/>
  <c r="P168" i="14"/>
  <c r="Q218" i="14"/>
  <c r="P218" i="14"/>
  <c r="R218" i="14"/>
  <c r="P229" i="14"/>
  <c r="R229" i="14"/>
  <c r="Q229" i="14"/>
  <c r="R162" i="14"/>
  <c r="Q162" i="14"/>
  <c r="P162" i="14"/>
  <c r="R266" i="14"/>
  <c r="P266" i="14"/>
  <c r="Q266" i="14"/>
  <c r="R149" i="14"/>
  <c r="Q149" i="14"/>
  <c r="P149" i="14"/>
  <c r="Q210" i="14"/>
  <c r="R210" i="14"/>
  <c r="P210" i="14"/>
  <c r="P164" i="14"/>
  <c r="Q164" i="14"/>
  <c r="R164" i="14"/>
  <c r="Q141" i="14"/>
  <c r="P141" i="14"/>
  <c r="R141" i="14"/>
  <c r="Q260" i="14"/>
  <c r="P260" i="14"/>
  <c r="R260" i="14"/>
  <c r="Q60" i="14"/>
  <c r="P60" i="14"/>
  <c r="R60" i="14"/>
  <c r="Q130" i="14"/>
  <c r="R130" i="14"/>
  <c r="P130" i="14"/>
  <c r="Q31" i="14"/>
  <c r="P31" i="14"/>
  <c r="R31" i="14"/>
  <c r="Q350" i="14"/>
  <c r="R350" i="14"/>
  <c r="P350" i="14"/>
  <c r="P213" i="14"/>
  <c r="R213" i="14"/>
  <c r="Q213" i="14"/>
  <c r="P361" i="14"/>
  <c r="R361" i="14"/>
  <c r="Q361" i="14"/>
  <c r="P225" i="14"/>
  <c r="Q225" i="14"/>
  <c r="R225" i="14"/>
  <c r="Q169" i="14"/>
  <c r="P169" i="14"/>
  <c r="R169" i="14"/>
  <c r="Q129" i="14"/>
  <c r="R129" i="14"/>
  <c r="P129" i="14"/>
  <c r="Q319" i="14"/>
  <c r="P319" i="14"/>
  <c r="R319" i="14"/>
  <c r="P280" i="14"/>
  <c r="Q280" i="14"/>
  <c r="R280" i="14"/>
  <c r="Q108" i="14"/>
  <c r="P108" i="14"/>
  <c r="R108" i="14"/>
  <c r="Q309" i="14"/>
  <c r="P309" i="14"/>
  <c r="R309" i="14"/>
  <c r="P257" i="14"/>
  <c r="R257" i="14"/>
  <c r="Q257" i="14"/>
  <c r="P227" i="14"/>
  <c r="R227" i="14"/>
  <c r="Q227" i="14"/>
  <c r="P204" i="14"/>
  <c r="R204" i="14"/>
  <c r="Q204" i="14"/>
  <c r="Q188" i="14"/>
  <c r="R188" i="14"/>
  <c r="P188" i="14"/>
  <c r="R85" i="14"/>
  <c r="Q85" i="14"/>
  <c r="P85" i="14"/>
  <c r="R272" i="14"/>
  <c r="Q272" i="14"/>
  <c r="P272" i="14"/>
  <c r="P75" i="14"/>
  <c r="R75" i="14"/>
  <c r="Q75" i="14"/>
  <c r="P199" i="14"/>
  <c r="Q199" i="14"/>
  <c r="R199" i="14"/>
  <c r="R68" i="14"/>
  <c r="Q68" i="14"/>
  <c r="P68" i="14"/>
  <c r="R351" i="14"/>
  <c r="P351" i="14"/>
  <c r="Q351" i="14"/>
  <c r="Q184" i="14"/>
  <c r="P184" i="14"/>
  <c r="R184" i="14"/>
  <c r="R342" i="14"/>
  <c r="Q342" i="14"/>
  <c r="P342" i="14"/>
  <c r="Q146" i="14"/>
  <c r="P146" i="14"/>
  <c r="R146" i="14"/>
  <c r="Q76" i="14"/>
  <c r="R76" i="14"/>
  <c r="P76" i="14"/>
  <c r="R267" i="14"/>
  <c r="Q267" i="14"/>
  <c r="P267" i="14"/>
  <c r="R192" i="14"/>
  <c r="Q192" i="14"/>
  <c r="P192" i="14"/>
  <c r="P154" i="14"/>
  <c r="R154" i="14"/>
  <c r="Q154" i="14"/>
  <c r="Q147" i="14"/>
  <c r="P147" i="14"/>
  <c r="R147" i="14"/>
  <c r="R295" i="14"/>
  <c r="P295" i="14"/>
  <c r="Q295" i="14"/>
  <c r="R148" i="14"/>
  <c r="Q148" i="14"/>
  <c r="P148" i="14"/>
  <c r="R179" i="14"/>
  <c r="P179" i="14"/>
  <c r="Q179" i="14"/>
  <c r="P369" i="14"/>
  <c r="R369" i="14"/>
  <c r="Q369" i="14"/>
  <c r="R66" i="14"/>
  <c r="P66" i="14"/>
  <c r="Q66" i="14"/>
  <c r="R329" i="14"/>
  <c r="P329" i="14"/>
  <c r="Q329" i="14"/>
  <c r="R170" i="14"/>
  <c r="Q170" i="14"/>
  <c r="P170" i="14"/>
  <c r="R348" i="14"/>
  <c r="P348" i="14"/>
  <c r="Q348" i="14"/>
  <c r="R301" i="14"/>
  <c r="Q301" i="14"/>
  <c r="P301" i="14"/>
  <c r="R91" i="14"/>
  <c r="Q91" i="14"/>
  <c r="P91" i="14"/>
  <c r="R245" i="14"/>
  <c r="P245" i="14"/>
  <c r="Q245" i="14"/>
  <c r="Q167" i="14"/>
  <c r="P167" i="14"/>
  <c r="R167" i="14"/>
  <c r="Q302" i="14"/>
  <c r="P302" i="14"/>
  <c r="R302" i="14"/>
  <c r="P185" i="14"/>
  <c r="R185" i="14"/>
  <c r="Q185" i="14"/>
  <c r="P133" i="14"/>
  <c r="R133" i="14"/>
  <c r="Q133" i="14"/>
  <c r="R217" i="14"/>
  <c r="P217" i="14"/>
  <c r="Q217" i="14"/>
  <c r="R136" i="14"/>
  <c r="P136" i="14"/>
  <c r="Q136" i="14"/>
  <c r="R47" i="14"/>
  <c r="P47" i="14"/>
  <c r="Q47" i="14"/>
  <c r="R327" i="14"/>
  <c r="Q327" i="14"/>
  <c r="P327" i="14"/>
  <c r="P244" i="14"/>
  <c r="R244" i="14"/>
  <c r="Q244" i="14"/>
  <c r="Q268" i="14"/>
  <c r="P268" i="14"/>
  <c r="R268" i="14"/>
  <c r="P54" i="14"/>
  <c r="R54" i="14"/>
  <c r="Q54" i="14"/>
  <c r="P195" i="14"/>
  <c r="Q195" i="14"/>
  <c r="R195" i="14"/>
  <c r="Q228" i="14"/>
  <c r="R228" i="14"/>
  <c r="P228" i="14"/>
  <c r="Q299" i="14"/>
  <c r="R299" i="14"/>
  <c r="P299" i="14"/>
  <c r="Q214" i="14"/>
  <c r="P214" i="14"/>
  <c r="R214" i="14"/>
  <c r="Q201" i="14"/>
  <c r="R201" i="14"/>
  <c r="P201" i="14"/>
  <c r="Q51" i="14"/>
  <c r="R51" i="14"/>
  <c r="P51" i="14"/>
  <c r="R114" i="14"/>
  <c r="Q114" i="14"/>
  <c r="P114" i="14"/>
  <c r="Q288" i="14"/>
  <c r="P288" i="14"/>
  <c r="R288" i="14"/>
  <c r="P77" i="14"/>
  <c r="R77" i="14"/>
  <c r="Q77" i="14"/>
  <c r="P200" i="14"/>
  <c r="Q200" i="14"/>
  <c r="R200" i="14"/>
  <c r="R343" i="14"/>
  <c r="Q343" i="14"/>
  <c r="P343" i="14"/>
  <c r="P65" i="14"/>
  <c r="R65" i="14"/>
  <c r="Q65" i="14"/>
  <c r="R211" i="14"/>
  <c r="Q211" i="14"/>
  <c r="P211" i="14"/>
  <c r="R173" i="14"/>
  <c r="P173" i="14"/>
  <c r="Q173" i="14"/>
  <c r="R367" i="14"/>
  <c r="P367" i="14"/>
  <c r="O367" i="14" s="1"/>
  <c r="Q367" i="14"/>
  <c r="Q205" i="14"/>
  <c r="P205" i="14"/>
  <c r="R205" i="14"/>
  <c r="R298" i="14"/>
  <c r="P298" i="14"/>
  <c r="Q298" i="14"/>
  <c r="Q353" i="14"/>
  <c r="R353" i="14"/>
  <c r="P353" i="14"/>
  <c r="R356" i="14"/>
  <c r="Q356" i="14"/>
  <c r="P356" i="14"/>
  <c r="R368" i="14"/>
  <c r="P368" i="14"/>
  <c r="Q368" i="14"/>
  <c r="P118" i="14"/>
  <c r="Q118" i="14"/>
  <c r="R118" i="14"/>
  <c r="Q131" i="14"/>
  <c r="R131" i="14"/>
  <c r="P131" i="14"/>
  <c r="P49" i="14"/>
  <c r="R49" i="14"/>
  <c r="Q49" i="14"/>
  <c r="P357" i="14"/>
  <c r="R357" i="14"/>
  <c r="Q357" i="14"/>
  <c r="R163" i="14"/>
  <c r="Q163" i="14"/>
  <c r="P163" i="14"/>
  <c r="R231" i="14"/>
  <c r="Q231" i="14"/>
  <c r="P231" i="14"/>
  <c r="O231" i="14" s="1"/>
  <c r="R239" i="14"/>
  <c r="P239" i="14"/>
  <c r="Q239" i="14"/>
  <c r="R323" i="14"/>
  <c r="P323" i="14"/>
  <c r="Q323" i="14"/>
  <c r="Q349" i="14"/>
  <c r="R349" i="14"/>
  <c r="P349" i="14"/>
  <c r="Q128" i="14"/>
  <c r="P128" i="14"/>
  <c r="R128" i="14"/>
  <c r="Q341" i="14"/>
  <c r="R341" i="14"/>
  <c r="P341" i="14"/>
  <c r="Q73" i="14"/>
  <c r="P73" i="14"/>
  <c r="R73" i="14"/>
  <c r="R142" i="14"/>
  <c r="Q142" i="14"/>
  <c r="P142" i="14"/>
  <c r="R273" i="14"/>
  <c r="P273" i="14"/>
  <c r="Q273" i="14"/>
  <c r="R39" i="14"/>
  <c r="P39" i="14"/>
  <c r="Q39" i="14"/>
  <c r="P70" i="14"/>
  <c r="R70" i="14"/>
  <c r="Q70" i="14"/>
  <c r="Q81" i="14"/>
  <c r="R81" i="14"/>
  <c r="P81" i="14"/>
  <c r="R216" i="14"/>
  <c r="Q216" i="14"/>
  <c r="P216" i="14"/>
  <c r="R116" i="14"/>
  <c r="Q116" i="14"/>
  <c r="P116" i="14"/>
  <c r="Q223" i="14"/>
  <c r="R223" i="14"/>
  <c r="P223" i="14"/>
  <c r="P325" i="14"/>
  <c r="Q325" i="14"/>
  <c r="R325" i="14"/>
  <c r="Z49" i="15"/>
  <c r="U49" i="15"/>
  <c r="X49" i="15" s="1"/>
  <c r="P262" i="14"/>
  <c r="R262" i="14"/>
  <c r="Q262" i="14"/>
  <c r="Q46" i="14"/>
  <c r="R46" i="14"/>
  <c r="P46" i="14"/>
  <c r="R333" i="14"/>
  <c r="P333" i="14"/>
  <c r="Q333" i="14"/>
  <c r="R193" i="14"/>
  <c r="P193" i="14"/>
  <c r="Q193" i="14"/>
  <c r="P80" i="14"/>
  <c r="Q80" i="14"/>
  <c r="R80" i="14"/>
  <c r="Q234" i="14"/>
  <c r="P234" i="14"/>
  <c r="R234" i="14"/>
  <c r="Q132" i="14"/>
  <c r="P132" i="14"/>
  <c r="R132" i="14"/>
  <c r="Q270" i="14"/>
  <c r="P270" i="14"/>
  <c r="O270" i="14" s="1"/>
  <c r="R270" i="14"/>
  <c r="R138" i="14"/>
  <c r="P138" i="14"/>
  <c r="Q138" i="14"/>
  <c r="P84" i="14"/>
  <c r="R84" i="14"/>
  <c r="Q84" i="14"/>
  <c r="Q180" i="14"/>
  <c r="P180" i="14"/>
  <c r="R180" i="14"/>
  <c r="P89" i="14"/>
  <c r="R89" i="14"/>
  <c r="Q89" i="14"/>
  <c r="Q264" i="14"/>
  <c r="R264" i="14"/>
  <c r="P264" i="14"/>
  <c r="P30" i="14"/>
  <c r="R30" i="14"/>
  <c r="Q30" i="14"/>
  <c r="R277" i="14"/>
  <c r="P277" i="14"/>
  <c r="Q277" i="14"/>
  <c r="P285" i="14"/>
  <c r="Q285" i="14"/>
  <c r="R285" i="14"/>
  <c r="Q291" i="14"/>
  <c r="R291" i="14"/>
  <c r="P291" i="14"/>
  <c r="Z44" i="15"/>
  <c r="U44" i="15"/>
  <c r="X44" i="15" s="1"/>
  <c r="Q230" i="14"/>
  <c r="P230" i="14"/>
  <c r="O230" i="14" s="1"/>
  <c r="R230" i="14"/>
  <c r="R340" i="14"/>
  <c r="Q340" i="14"/>
  <c r="P340" i="14"/>
  <c r="O340" i="14" s="1"/>
  <c r="P64" i="14"/>
  <c r="Q64" i="14"/>
  <c r="R64" i="14"/>
  <c r="R310" i="14"/>
  <c r="Q310" i="14"/>
  <c r="P310" i="14"/>
  <c r="P103" i="14"/>
  <c r="Q103" i="14"/>
  <c r="R103" i="14"/>
  <c r="R271" i="14"/>
  <c r="P271" i="14"/>
  <c r="Q271" i="14"/>
  <c r="R196" i="14"/>
  <c r="Q196" i="14"/>
  <c r="P196" i="14"/>
  <c r="Q144" i="14"/>
  <c r="R144" i="14"/>
  <c r="P144" i="14"/>
  <c r="R287" i="14"/>
  <c r="P287" i="14"/>
  <c r="Q287" i="14"/>
  <c r="R177" i="14"/>
  <c r="Q177" i="14"/>
  <c r="P177" i="14"/>
  <c r="O177" i="14" s="1"/>
  <c r="P176" i="14"/>
  <c r="Q176" i="14"/>
  <c r="R176" i="14"/>
  <c r="Q263" i="14"/>
  <c r="P263" i="14"/>
  <c r="R263" i="14"/>
  <c r="R346" i="14"/>
  <c r="P346" i="14"/>
  <c r="Q346" i="14"/>
  <c r="R326" i="14"/>
  <c r="Q326" i="14"/>
  <c r="P326" i="14"/>
  <c r="O326" i="14" s="1"/>
  <c r="Q37" i="14"/>
  <c r="P37" i="14"/>
  <c r="R37" i="14"/>
  <c r="P58" i="14"/>
  <c r="R58" i="14"/>
  <c r="Q58" i="14"/>
  <c r="U48" i="15"/>
  <c r="X48" i="15" s="1"/>
  <c r="Z48" i="15"/>
  <c r="Q71" i="14"/>
  <c r="P71" i="14"/>
  <c r="R71" i="14"/>
  <c r="P178" i="14"/>
  <c r="Q178" i="14"/>
  <c r="R178" i="14"/>
  <c r="Q50" i="14"/>
  <c r="R50" i="14"/>
  <c r="P50" i="14"/>
  <c r="R252" i="14"/>
  <c r="P252" i="14"/>
  <c r="Q252" i="14"/>
  <c r="Q107" i="14"/>
  <c r="P107" i="14"/>
  <c r="R107" i="14"/>
  <c r="R345" i="14"/>
  <c r="Q345" i="14"/>
  <c r="P345" i="14"/>
  <c r="R358" i="14"/>
  <c r="P358" i="14"/>
  <c r="Q358" i="14"/>
  <c r="P339" i="14"/>
  <c r="Q339" i="14"/>
  <c r="R339" i="14"/>
  <c r="P207" i="14"/>
  <c r="Q207" i="14"/>
  <c r="R207" i="14"/>
  <c r="P151" i="14"/>
  <c r="Q151" i="14"/>
  <c r="R151" i="14"/>
  <c r="Q69" i="14"/>
  <c r="R69" i="14"/>
  <c r="P69" i="14"/>
  <c r="R161" i="14"/>
  <c r="Q161" i="14"/>
  <c r="P161" i="14"/>
  <c r="Q98" i="14"/>
  <c r="P98" i="14"/>
  <c r="R98" i="14"/>
  <c r="P292" i="14"/>
  <c r="Q292" i="14"/>
  <c r="R292" i="14"/>
  <c r="Q125" i="14"/>
  <c r="P125" i="14"/>
  <c r="R125" i="14"/>
  <c r="Q55" i="14"/>
  <c r="P55" i="14"/>
  <c r="R55" i="14"/>
  <c r="R347" i="14"/>
  <c r="Q347" i="14"/>
  <c r="P347" i="14"/>
  <c r="Q330" i="14"/>
  <c r="R330" i="14"/>
  <c r="P330" i="14"/>
  <c r="P314" i="14"/>
  <c r="R314" i="14"/>
  <c r="Q314" i="14"/>
  <c r="P220" i="14"/>
  <c r="Q220" i="14"/>
  <c r="R220" i="14"/>
  <c r="P338" i="14"/>
  <c r="Q338" i="14"/>
  <c r="R338" i="14"/>
  <c r="P94" i="14"/>
  <c r="Q94" i="14"/>
  <c r="R94" i="14"/>
  <c r="P305" i="14"/>
  <c r="R305" i="14"/>
  <c r="Q305" i="14"/>
  <c r="U43" i="15"/>
  <c r="X43" i="15" s="1"/>
  <c r="Z43" i="15"/>
  <c r="P236" i="14"/>
  <c r="Q236" i="14"/>
  <c r="R236" i="14"/>
  <c r="P139" i="14"/>
  <c r="Q139" i="14"/>
  <c r="R139" i="14"/>
  <c r="P104" i="14"/>
  <c r="Q104" i="14"/>
  <c r="R104" i="14"/>
  <c r="Q143" i="14"/>
  <c r="P143" i="14"/>
  <c r="R143" i="14"/>
  <c r="Q243" i="14"/>
  <c r="R243" i="14"/>
  <c r="P243" i="14"/>
  <c r="P41" i="14"/>
  <c r="R41" i="14"/>
  <c r="Q41" i="14"/>
  <c r="R336" i="14"/>
  <c r="Q336" i="14"/>
  <c r="P336" i="14"/>
  <c r="R255" i="14"/>
  <c r="P255" i="14"/>
  <c r="Q255" i="14"/>
  <c r="Q209" i="14"/>
  <c r="R209" i="14"/>
  <c r="P209" i="14"/>
  <c r="R171" i="14"/>
  <c r="Q171" i="14"/>
  <c r="P171" i="14"/>
  <c r="P160" i="14"/>
  <c r="R160" i="14"/>
  <c r="Q160" i="14"/>
  <c r="R366" i="14"/>
  <c r="Q366" i="14"/>
  <c r="P366" i="14"/>
  <c r="P137" i="14"/>
  <c r="R137" i="14"/>
  <c r="Q137" i="14"/>
  <c r="P311" i="14"/>
  <c r="Q311" i="14"/>
  <c r="R311" i="14"/>
  <c r="Q332" i="14"/>
  <c r="P332" i="14"/>
  <c r="R332" i="14"/>
  <c r="P293" i="14"/>
  <c r="R293" i="14"/>
  <c r="Q293" i="14"/>
  <c r="R306" i="14"/>
  <c r="P306" i="14"/>
  <c r="Q306" i="14"/>
  <c r="Q57" i="14"/>
  <c r="P57" i="14"/>
  <c r="R57" i="14"/>
  <c r="P152" i="14"/>
  <c r="R152" i="14"/>
  <c r="Q152" i="14"/>
  <c r="P174" i="14"/>
  <c r="Q174" i="14"/>
  <c r="R174" i="14"/>
  <c r="R40" i="14"/>
  <c r="Q40" i="14"/>
  <c r="P40" i="14"/>
  <c r="R67" i="14"/>
  <c r="P67" i="14"/>
  <c r="Q67" i="14"/>
  <c r="P286" i="14"/>
  <c r="R286" i="14"/>
  <c r="Q286" i="14"/>
  <c r="P259" i="14"/>
  <c r="Q259" i="14"/>
  <c r="R259" i="14"/>
  <c r="P303" i="14"/>
  <c r="R303" i="14"/>
  <c r="Q303" i="14"/>
  <c r="R127" i="14"/>
  <c r="P127" i="14"/>
  <c r="Q127" i="14"/>
  <c r="R282" i="14"/>
  <c r="Q282" i="14"/>
  <c r="P282" i="14"/>
  <c r="O282" i="14" s="1"/>
  <c r="P194" i="14"/>
  <c r="Q194" i="14"/>
  <c r="R194" i="14"/>
  <c r="P44" i="14"/>
  <c r="Q44" i="14"/>
  <c r="R44" i="14"/>
  <c r="P318" i="14"/>
  <c r="Q318" i="14"/>
  <c r="R318" i="14"/>
  <c r="Q83" i="14"/>
  <c r="P83" i="14"/>
  <c r="R83" i="14"/>
  <c r="P237" i="14"/>
  <c r="R237" i="14"/>
  <c r="Q237" i="14"/>
  <c r="R208" i="14"/>
  <c r="P208" i="14"/>
  <c r="Q208" i="14"/>
  <c r="Q246" i="14"/>
  <c r="P246" i="14"/>
  <c r="O246" i="14" s="1"/>
  <c r="R246" i="14"/>
  <c r="Q256" i="14"/>
  <c r="P256" i="14"/>
  <c r="R256" i="14"/>
  <c r="R290" i="14"/>
  <c r="P290" i="14"/>
  <c r="Q290" i="14"/>
  <c r="R61" i="14"/>
  <c r="Q61" i="14"/>
  <c r="P61" i="14"/>
  <c r="R159" i="14"/>
  <c r="Q159" i="14"/>
  <c r="P159" i="14"/>
  <c r="P206" i="14"/>
  <c r="Q206" i="14"/>
  <c r="R206" i="14"/>
  <c r="Q317" i="14"/>
  <c r="R317" i="14"/>
  <c r="P317" i="14"/>
  <c r="Q172" i="14"/>
  <c r="P172" i="14"/>
  <c r="R172" i="14"/>
  <c r="Q238" i="14"/>
  <c r="R238" i="14"/>
  <c r="P238" i="14"/>
  <c r="Q312" i="14"/>
  <c r="R312" i="14"/>
  <c r="P312" i="14"/>
  <c r="Q52" i="14"/>
  <c r="R52" i="14"/>
  <c r="P52" i="14"/>
  <c r="Z47" i="15"/>
  <c r="U47" i="15"/>
  <c r="X47" i="15" s="1"/>
  <c r="Q247" i="14"/>
  <c r="P247" i="14"/>
  <c r="R247" i="14"/>
  <c r="Q115" i="14"/>
  <c r="R115" i="14"/>
  <c r="P115" i="14"/>
  <c r="Q242" i="14"/>
  <c r="P242" i="14"/>
  <c r="R242" i="14"/>
  <c r="Z46" i="15"/>
  <c r="U46" i="15"/>
  <c r="X46" i="15" s="1"/>
  <c r="R120" i="14"/>
  <c r="P120" i="14"/>
  <c r="Q120" i="14"/>
  <c r="Q126" i="14"/>
  <c r="P126" i="14"/>
  <c r="R126" i="14"/>
  <c r="Q269" i="14"/>
  <c r="R269" i="14"/>
  <c r="P269" i="14"/>
  <c r="Q62" i="14"/>
  <c r="P62" i="14"/>
  <c r="R62" i="14"/>
  <c r="R183" i="14"/>
  <c r="Q183" i="14"/>
  <c r="P183" i="14"/>
  <c r="P321" i="14"/>
  <c r="R321" i="14"/>
  <c r="Q321" i="14"/>
  <c r="P95" i="14"/>
  <c r="R95" i="14"/>
  <c r="Q95" i="14"/>
  <c r="P324" i="14"/>
  <c r="Q324" i="14"/>
  <c r="R324" i="14"/>
  <c r="R315" i="14"/>
  <c r="P315" i="14"/>
  <c r="Q315" i="14"/>
  <c r="R364" i="14"/>
  <c r="P364" i="14"/>
  <c r="Q364" i="14"/>
  <c r="Q72" i="14"/>
  <c r="R72" i="14"/>
  <c r="P72" i="14"/>
  <c r="Q304" i="14"/>
  <c r="R304" i="14"/>
  <c r="P304" i="14"/>
  <c r="Q99" i="14"/>
  <c r="R99" i="14"/>
  <c r="P99" i="14"/>
  <c r="P93" i="14"/>
  <c r="R93" i="14"/>
  <c r="Q93" i="14"/>
  <c r="R36" i="14"/>
  <c r="Q36" i="14"/>
  <c r="P36" i="14"/>
  <c r="R224" i="14"/>
  <c r="Q224" i="14"/>
  <c r="P224" i="14"/>
  <c r="U41" i="15"/>
  <c r="Z41" i="15"/>
  <c r="P38" i="14"/>
  <c r="R38" i="14"/>
  <c r="Q38" i="14"/>
  <c r="R284" i="14"/>
  <c r="Q284" i="14"/>
  <c r="P284" i="14"/>
  <c r="P362" i="14"/>
  <c r="R362" i="14"/>
  <c r="Q362" i="14"/>
  <c r="R97" i="14"/>
  <c r="P97" i="14"/>
  <c r="Q97" i="14"/>
  <c r="P191" i="14"/>
  <c r="Q191" i="14"/>
  <c r="R191" i="14"/>
  <c r="P48" i="14"/>
  <c r="Q48" i="14"/>
  <c r="R48" i="14"/>
  <c r="Q352" i="14"/>
  <c r="P352" i="14"/>
  <c r="R352" i="14"/>
  <c r="P296" i="14"/>
  <c r="Q296" i="14"/>
  <c r="R296" i="14"/>
  <c r="U40" i="15"/>
  <c r="X40" i="15" s="1"/>
  <c r="Z40" i="15"/>
  <c r="E39" i="11"/>
  <c r="P175" i="14"/>
  <c r="Q175" i="14"/>
  <c r="R175" i="14"/>
  <c r="Q43" i="14"/>
  <c r="P43" i="14"/>
  <c r="R43" i="14"/>
  <c r="R283" i="14"/>
  <c r="Q283" i="14"/>
  <c r="P283" i="14"/>
  <c r="R265" i="14"/>
  <c r="P265" i="14"/>
  <c r="Q265" i="14"/>
  <c r="R122" i="14"/>
  <c r="Q122" i="14"/>
  <c r="P122" i="14"/>
  <c r="R140" i="14"/>
  <c r="P140" i="14"/>
  <c r="Q140" i="14"/>
  <c r="R316" i="14"/>
  <c r="P316" i="14"/>
  <c r="Q316" i="14"/>
  <c r="P197" i="14"/>
  <c r="Q197" i="14"/>
  <c r="R197" i="14"/>
  <c r="R235" i="14"/>
  <c r="Q235" i="14"/>
  <c r="P235" i="14"/>
  <c r="R102" i="14"/>
  <c r="Q102" i="14"/>
  <c r="P102" i="14"/>
  <c r="R109" i="14"/>
  <c r="P109" i="14"/>
  <c r="Q109" i="14"/>
  <c r="Q322" i="14"/>
  <c r="R322" i="14"/>
  <c r="P322" i="14"/>
  <c r="P90" i="14"/>
  <c r="R90" i="14"/>
  <c r="Q90" i="14"/>
  <c r="Q106" i="14"/>
  <c r="P106" i="14"/>
  <c r="R106" i="14"/>
  <c r="R275" i="14"/>
  <c r="P275" i="14"/>
  <c r="Q275" i="14"/>
  <c r="Q119" i="14"/>
  <c r="P119" i="14"/>
  <c r="R119" i="14"/>
  <c r="P110" i="14"/>
  <c r="R110" i="14"/>
  <c r="Q110" i="14"/>
  <c r="F11" i="9"/>
  <c r="H11" i="9" s="1"/>
  <c r="Q35" i="14"/>
  <c r="R35" i="14"/>
  <c r="P35" i="14"/>
  <c r="P308" i="14"/>
  <c r="Q308" i="14"/>
  <c r="R308" i="14"/>
  <c r="Q63" i="14"/>
  <c r="P63" i="14"/>
  <c r="R63" i="14"/>
  <c r="U38" i="15"/>
  <c r="Z38" i="15"/>
  <c r="P135" i="14"/>
  <c r="Q135" i="14"/>
  <c r="R135" i="14"/>
  <c r="R165" i="14"/>
  <c r="P165" i="14"/>
  <c r="Q165" i="14"/>
  <c r="R344" i="14"/>
  <c r="P344" i="14"/>
  <c r="Q344" i="14"/>
  <c r="P134" i="14"/>
  <c r="Q134" i="14"/>
  <c r="R134" i="14"/>
  <c r="R331" i="14"/>
  <c r="P331" i="14"/>
  <c r="Q331" i="14"/>
  <c r="R87" i="14"/>
  <c r="P87" i="14"/>
  <c r="Q87" i="14"/>
  <c r="F18" i="9"/>
  <c r="H18" i="9" s="1"/>
  <c r="Q156" i="14"/>
  <c r="R156" i="14"/>
  <c r="P156" i="14"/>
  <c r="P335" i="14"/>
  <c r="R335" i="14"/>
  <c r="Q335" i="14"/>
  <c r="R181" i="14"/>
  <c r="Q181" i="14"/>
  <c r="P181" i="14"/>
  <c r="R42" i="14"/>
  <c r="P42" i="14"/>
  <c r="Q42" i="14"/>
  <c r="Q112" i="14"/>
  <c r="R112" i="14"/>
  <c r="P112" i="14"/>
  <c r="Q187" i="14"/>
  <c r="P187" i="14"/>
  <c r="R187" i="14"/>
  <c r="P297" i="14"/>
  <c r="R297" i="14"/>
  <c r="Q297" i="14"/>
  <c r="R253" i="14"/>
  <c r="Q253" i="14"/>
  <c r="P253" i="14"/>
  <c r="R111" i="14"/>
  <c r="Q111" i="14"/>
  <c r="P111" i="14"/>
  <c r="O111" i="14" s="1"/>
  <c r="Q281" i="14"/>
  <c r="P281" i="14"/>
  <c r="R281" i="14"/>
  <c r="R100" i="14"/>
  <c r="P100" i="14"/>
  <c r="Q100" i="14"/>
  <c r="R78" i="14"/>
  <c r="Q78" i="14"/>
  <c r="P78" i="14"/>
  <c r="Q300" i="14"/>
  <c r="R300" i="14"/>
  <c r="P300" i="14"/>
  <c r="Q241" i="14"/>
  <c r="R241" i="14"/>
  <c r="P241" i="14"/>
  <c r="P145" i="14"/>
  <c r="Q145" i="14"/>
  <c r="R145" i="14"/>
  <c r="P74" i="14"/>
  <c r="R74" i="14"/>
  <c r="Q74" i="14"/>
  <c r="Z39" i="15"/>
  <c r="U39" i="15"/>
  <c r="X39" i="15" s="1"/>
  <c r="Q150" i="14"/>
  <c r="P150" i="14"/>
  <c r="R150" i="14"/>
  <c r="R249" i="14"/>
  <c r="P249" i="14"/>
  <c r="Q249" i="14"/>
  <c r="E25" i="11"/>
  <c r="D22" i="11"/>
  <c r="D34" i="11"/>
  <c r="X41" i="15" l="1"/>
  <c r="G4" i="9" s="1"/>
  <c r="E4" i="9"/>
  <c r="C11" i="11" s="1"/>
  <c r="O39" i="14"/>
  <c r="O239" i="14"/>
  <c r="O234" i="14"/>
  <c r="O216" i="14"/>
  <c r="O226" i="14"/>
  <c r="O108" i="14"/>
  <c r="O169" i="14"/>
  <c r="O260" i="14"/>
  <c r="O232" i="14"/>
  <c r="O157" i="14"/>
  <c r="O339" i="14"/>
  <c r="O80" i="14"/>
  <c r="O298" i="14"/>
  <c r="O199" i="14"/>
  <c r="O221" i="14"/>
  <c r="O218" i="14"/>
  <c r="O307" i="14"/>
  <c r="O202" i="14"/>
  <c r="O224" i="14"/>
  <c r="O57" i="14"/>
  <c r="O336" i="14"/>
  <c r="O125" i="14"/>
  <c r="O161" i="14"/>
  <c r="O42" i="14"/>
  <c r="O331" i="14"/>
  <c r="O140" i="14"/>
  <c r="O175" i="14"/>
  <c r="O48" i="14"/>
  <c r="O315" i="14"/>
  <c r="O324" i="14"/>
  <c r="O120" i="14"/>
  <c r="O206" i="14"/>
  <c r="O290" i="14"/>
  <c r="O255" i="14"/>
  <c r="O104" i="14"/>
  <c r="O220" i="14"/>
  <c r="O134" i="14"/>
  <c r="O237" i="14"/>
  <c r="O69" i="14"/>
  <c r="O90" i="14"/>
  <c r="O320" i="14"/>
  <c r="O258" i="14"/>
  <c r="O248" i="14"/>
  <c r="O269" i="14"/>
  <c r="O238" i="14"/>
  <c r="O178" i="14"/>
  <c r="O346" i="14"/>
  <c r="O287" i="14"/>
  <c r="O352" i="14"/>
  <c r="O71" i="14"/>
  <c r="O37" i="14"/>
  <c r="O310" i="14"/>
  <c r="O76" i="14"/>
  <c r="O112" i="14"/>
  <c r="O156" i="14"/>
  <c r="O284" i="14"/>
  <c r="O151" i="14"/>
  <c r="O358" i="14"/>
  <c r="O193" i="14"/>
  <c r="O200" i="14"/>
  <c r="O136" i="14"/>
  <c r="O280" i="14"/>
  <c r="O225" i="14"/>
  <c r="O222" i="14"/>
  <c r="O283" i="14"/>
  <c r="O43" i="14"/>
  <c r="O61" i="14"/>
  <c r="O345" i="14"/>
  <c r="O107" i="14"/>
  <c r="O146" i="14"/>
  <c r="O272" i="14"/>
  <c r="O319" i="14"/>
  <c r="O182" i="14"/>
  <c r="O292" i="14"/>
  <c r="O294" i="14"/>
  <c r="O106" i="14"/>
  <c r="O297" i="14"/>
  <c r="N18" i="9"/>
  <c r="O353" i="14"/>
  <c r="O300" i="14"/>
  <c r="O235" i="14"/>
  <c r="O122" i="14"/>
  <c r="O268" i="14"/>
  <c r="O302" i="14"/>
  <c r="O91" i="14"/>
  <c r="O148" i="14"/>
  <c r="O192" i="14"/>
  <c r="O184" i="14"/>
  <c r="O145" i="14"/>
  <c r="O201" i="14"/>
  <c r="O98" i="14"/>
  <c r="O181" i="14"/>
  <c r="O119" i="14"/>
  <c r="O342" i="14"/>
  <c r="O249" i="14"/>
  <c r="O51" i="14"/>
  <c r="O228" i="14"/>
  <c r="O54" i="14"/>
  <c r="O245" i="14"/>
  <c r="O179" i="14"/>
  <c r="O117" i="14"/>
  <c r="D16" i="11" s="1"/>
  <c r="E16" i="11" s="1"/>
  <c r="O186" i="14"/>
  <c r="O362" i="14"/>
  <c r="O72" i="14"/>
  <c r="O293" i="14"/>
  <c r="O50" i="14"/>
  <c r="O30" i="14"/>
  <c r="O84" i="14"/>
  <c r="O361" i="14"/>
  <c r="O350" i="14"/>
  <c r="O344" i="14"/>
  <c r="O265" i="14"/>
  <c r="O296" i="14"/>
  <c r="O44" i="14"/>
  <c r="O127" i="14"/>
  <c r="O67" i="14"/>
  <c r="O236" i="14"/>
  <c r="O94" i="14"/>
  <c r="O66" i="14"/>
  <c r="O295" i="14"/>
  <c r="O359" i="14"/>
  <c r="O81" i="14"/>
  <c r="O349" i="14"/>
  <c r="O49" i="14"/>
  <c r="O286" i="14"/>
  <c r="O40" i="14"/>
  <c r="O152" i="14"/>
  <c r="O160" i="14"/>
  <c r="O209" i="14"/>
  <c r="O243" i="14"/>
  <c r="O143" i="14"/>
  <c r="O330" i="14"/>
  <c r="O144" i="14"/>
  <c r="O262" i="14"/>
  <c r="O70" i="14"/>
  <c r="O357" i="14"/>
  <c r="O131" i="14"/>
  <c r="O65" i="14"/>
  <c r="O185" i="14"/>
  <c r="O213" i="14"/>
  <c r="O229" i="14"/>
  <c r="O168" i="14"/>
  <c r="O198" i="14"/>
  <c r="O121" i="14"/>
  <c r="O189" i="14"/>
  <c r="O289" i="14"/>
  <c r="O153" i="14"/>
  <c r="E34" i="11"/>
  <c r="C29" i="11"/>
  <c r="E22" i="11"/>
  <c r="O150" i="14"/>
  <c r="O78" i="14"/>
  <c r="O100" i="14"/>
  <c r="O253" i="14"/>
  <c r="O335" i="14"/>
  <c r="V44" i="15"/>
  <c r="Y44" i="15" s="1"/>
  <c r="V46" i="15"/>
  <c r="Y46" i="15" s="1"/>
  <c r="V49" i="15"/>
  <c r="Y49" i="15" s="1"/>
  <c r="V41" i="15"/>
  <c r="V43" i="15"/>
  <c r="Y43" i="15" s="1"/>
  <c r="V45" i="15"/>
  <c r="Y45" i="15" s="1"/>
  <c r="V42" i="15"/>
  <c r="Y42" i="15" s="1"/>
  <c r="V48" i="15"/>
  <c r="Y48" i="15" s="1"/>
  <c r="V39" i="15"/>
  <c r="Y39" i="15" s="1"/>
  <c r="V47" i="15"/>
  <c r="Y47" i="15" s="1"/>
  <c r="X38" i="15"/>
  <c r="V40" i="15"/>
  <c r="Y40" i="15" s="1"/>
  <c r="V38" i="15"/>
  <c r="Y38" i="15" s="1"/>
  <c r="J11" i="9"/>
  <c r="O102" i="14"/>
  <c r="O197" i="14"/>
  <c r="O191" i="14"/>
  <c r="O38" i="14"/>
  <c r="O99" i="14"/>
  <c r="O95" i="14"/>
  <c r="O183" i="14"/>
  <c r="O62" i="14"/>
  <c r="O115" i="14"/>
  <c r="O247" i="14"/>
  <c r="O52" i="14"/>
  <c r="O317" i="14"/>
  <c r="O256" i="14"/>
  <c r="O83" i="14"/>
  <c r="O318" i="14"/>
  <c r="O332" i="14"/>
  <c r="O311" i="14"/>
  <c r="O366" i="14"/>
  <c r="O41" i="14"/>
  <c r="O139" i="14"/>
  <c r="O305" i="14"/>
  <c r="O314" i="14"/>
  <c r="O347" i="14"/>
  <c r="O55" i="14"/>
  <c r="O252" i="14"/>
  <c r="O196" i="14"/>
  <c r="O271" i="14"/>
  <c r="O103" i="14"/>
  <c r="O285" i="14"/>
  <c r="O89" i="14"/>
  <c r="O138" i="14"/>
  <c r="O46" i="14"/>
  <c r="O142" i="14"/>
  <c r="O73" i="14"/>
  <c r="O323" i="14"/>
  <c r="O163" i="14"/>
  <c r="O368" i="14"/>
  <c r="O205" i="14"/>
  <c r="O211" i="14"/>
  <c r="O288" i="14"/>
  <c r="O214" i="14"/>
  <c r="O327" i="14"/>
  <c r="O47" i="14"/>
  <c r="O170" i="14"/>
  <c r="O329" i="14"/>
  <c r="O68" i="14"/>
  <c r="O75" i="14"/>
  <c r="O85" i="14"/>
  <c r="O204" i="14"/>
  <c r="O309" i="14"/>
  <c r="O130" i="14"/>
  <c r="O60" i="14"/>
  <c r="O162" i="14"/>
  <c r="O337" i="14"/>
  <c r="O313" i="14"/>
  <c r="O92" i="14"/>
  <c r="O79" i="14"/>
  <c r="O59" i="14"/>
  <c r="O278" i="14"/>
  <c r="O105" i="14"/>
  <c r="O124" i="14"/>
  <c r="O96" i="14"/>
  <c r="L4" i="9"/>
  <c r="O86" i="14"/>
  <c r="O233" i="14"/>
  <c r="N4" i="10"/>
  <c r="O190" i="14"/>
  <c r="O56" i="14"/>
  <c r="O113" i="14"/>
  <c r="O274" i="14"/>
  <c r="O32" i="14"/>
  <c r="O88" i="14"/>
  <c r="O355" i="14"/>
  <c r="O254" i="14"/>
  <c r="R4" i="9"/>
  <c r="D11" i="11"/>
  <c r="E11" i="11" s="1"/>
  <c r="H4" i="9"/>
  <c r="D29" i="11" s="1"/>
  <c r="H4" i="10"/>
  <c r="D30" i="11" s="1"/>
  <c r="D12" i="11"/>
  <c r="O334" i="14"/>
  <c r="O219" i="14"/>
  <c r="O110" i="14"/>
  <c r="L11" i="9"/>
  <c r="O74" i="14"/>
  <c r="O241" i="14"/>
  <c r="O87" i="14"/>
  <c r="L18" i="9"/>
  <c r="O165" i="14"/>
  <c r="O135" i="14"/>
  <c r="O63" i="14"/>
  <c r="O308" i="14"/>
  <c r="O275" i="14"/>
  <c r="O322" i="14"/>
  <c r="O109" i="14"/>
  <c r="O316" i="14"/>
  <c r="O97" i="14"/>
  <c r="O36" i="14"/>
  <c r="O364" i="14"/>
  <c r="O126" i="14"/>
  <c r="O242" i="14"/>
  <c r="O172" i="14"/>
  <c r="O159" i="14"/>
  <c r="O208" i="14"/>
  <c r="O194" i="14"/>
  <c r="O259" i="14"/>
  <c r="O174" i="14"/>
  <c r="O306" i="14"/>
  <c r="O171" i="14"/>
  <c r="O338" i="14"/>
  <c r="O207" i="14"/>
  <c r="O263" i="14"/>
  <c r="O176" i="14"/>
  <c r="O64" i="14"/>
  <c r="O277" i="14"/>
  <c r="O180" i="14"/>
  <c r="O132" i="14"/>
  <c r="O333" i="14"/>
  <c r="O325" i="14"/>
  <c r="O116" i="14"/>
  <c r="O273" i="14"/>
  <c r="O341" i="14"/>
  <c r="O128" i="14"/>
  <c r="O118" i="14"/>
  <c r="O356" i="14"/>
  <c r="O173" i="14"/>
  <c r="O343" i="14"/>
  <c r="O77" i="14"/>
  <c r="O114" i="14"/>
  <c r="O299" i="14"/>
  <c r="O195" i="14"/>
  <c r="O217" i="14"/>
  <c r="O133" i="14"/>
  <c r="O167" i="14"/>
  <c r="O301" i="14"/>
  <c r="O348" i="14"/>
  <c r="O147" i="14"/>
  <c r="O154" i="14"/>
  <c r="O267" i="14"/>
  <c r="O351" i="14"/>
  <c r="O257" i="14"/>
  <c r="O31" i="14"/>
  <c r="O141" i="14"/>
  <c r="O164" i="14"/>
  <c r="O149" i="14"/>
  <c r="O266" i="14"/>
  <c r="O365" i="14"/>
  <c r="O29" i="14"/>
  <c r="O166" i="14"/>
  <c r="O123" i="14"/>
  <c r="O215" i="14"/>
  <c r="O155" i="14"/>
  <c r="J4" i="9"/>
  <c r="D20" i="11" s="1"/>
  <c r="E20" i="11" s="1"/>
  <c r="O203" i="14"/>
  <c r="L4" i="10"/>
  <c r="P4" i="10" s="1"/>
  <c r="D18" i="11" s="1"/>
  <c r="E18" i="11" s="1"/>
  <c r="O28" i="14"/>
  <c r="O251" i="14"/>
  <c r="O363" i="14"/>
  <c r="O354" i="14"/>
  <c r="O328" i="14"/>
  <c r="O261" i="14"/>
  <c r="O45" i="14"/>
  <c r="O281" i="14"/>
  <c r="O187" i="14"/>
  <c r="O35" i="14"/>
  <c r="N11" i="9"/>
  <c r="O93" i="14"/>
  <c r="O304" i="14"/>
  <c r="O321" i="14"/>
  <c r="O312" i="14"/>
  <c r="O303" i="14"/>
  <c r="O137" i="14"/>
  <c r="O58" i="14"/>
  <c r="O291" i="14"/>
  <c r="O264" i="14"/>
  <c r="O223" i="14"/>
  <c r="O244" i="14"/>
  <c r="O369" i="14"/>
  <c r="O188" i="14"/>
  <c r="O227" i="14"/>
  <c r="O129" i="14"/>
  <c r="O210" i="14"/>
  <c r="N4" i="9"/>
  <c r="O158" i="14"/>
  <c r="J4" i="10"/>
  <c r="D21" i="11" s="1"/>
  <c r="E21" i="11" s="1"/>
  <c r="O212" i="14"/>
  <c r="O360" i="14"/>
  <c r="P18" i="9" l="1"/>
  <c r="Y41" i="15"/>
  <c r="G4" i="10" s="1"/>
  <c r="C30" i="11" s="1"/>
  <c r="E30" i="11" s="1"/>
  <c r="E4" i="10"/>
  <c r="C12" i="11" s="1"/>
  <c r="P11" i="9"/>
  <c r="E29" i="11"/>
  <c r="P4" i="9"/>
  <c r="D17" i="11" s="1"/>
  <c r="E17" i="11" s="1"/>
  <c r="D26" i="11"/>
  <c r="E26" i="11" s="1"/>
  <c r="D23" i="11"/>
  <c r="E23" i="11" s="1"/>
  <c r="D27" i="11"/>
  <c r="E27" i="11" s="1"/>
  <c r="D24" i="11"/>
  <c r="E24" i="11" s="1"/>
  <c r="E12" i="11"/>
</calcChain>
</file>

<file path=xl/sharedStrings.xml><?xml version="1.0" encoding="utf-8"?>
<sst xmlns="http://schemas.openxmlformats.org/spreadsheetml/2006/main" count="11186" uniqueCount="989">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</sst>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 Data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0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66" totalsRowShown="0" headerRowDxfId="192">
  <autoFilter ref="A1:AD366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16" totalsRowShown="0" headerRowDxfId="161" dataDxfId="159" headerRowBorderDxfId="160" headerRowCellStyle="Normal 26">
  <autoFilter ref="A1:Z1116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2" zoomScaleNormal="90" workbookViewId="0">
      <selection activeCell="I10" sqref="I10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45860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669.351</v>
      </c>
      <c r="E10" s="46">
        <f>D10/C10-1</f>
        <v>-0.26029899812444046</v>
      </c>
      <c r="F10" s="193"/>
    </row>
    <row r="11" spans="1:18">
      <c r="A11" s="367"/>
      <c r="B11" s="47" t="s">
        <v>15</v>
      </c>
      <c r="C11" s="48">
        <f>MonthlyKPI!E4</f>
        <v>19907.668047849042</v>
      </c>
      <c r="D11" s="49">
        <f>MonthlyKPI!F4</f>
        <v>21578.127</v>
      </c>
      <c r="E11" s="50">
        <f t="shared" ref="E11:E12" si="0">D11/C11-1</f>
        <v>8.3910327826239195E-2</v>
      </c>
      <c r="F11" s="194"/>
    </row>
    <row r="12" spans="1:18" ht="15" thickBot="1">
      <c r="A12" s="368"/>
      <c r="B12" s="51" t="s">
        <v>16</v>
      </c>
      <c r="C12" s="52">
        <f>AnnualKPI!E4</f>
        <v>53192.620365566443</v>
      </c>
      <c r="D12" s="53">
        <f>AnnualKPI!F4</f>
        <v>67016.933000000005</v>
      </c>
      <c r="E12" s="54">
        <f t="shared" si="0"/>
        <v>0.25989155148638909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7.4715909090909092</v>
      </c>
      <c r="E13" s="46">
        <f>(D13-C13)/(C13)</f>
        <v>-0.23940370793102375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9.060599173553717</v>
      </c>
      <c r="E14" s="50">
        <f t="shared" ref="E14:E15" si="1">(D14-C14)/(C14)</f>
        <v>-7.7645146906645618E-2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6.9480309734513286</v>
      </c>
      <c r="E15" s="54">
        <f t="shared" si="1"/>
        <v>0.10573837755379997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0.9991267822597979</v>
      </c>
      <c r="E16" s="46">
        <f t="shared" ref="E16:E21" si="2">(D16-C16)/(C16)</f>
        <v>4.0431929875870007E-2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0.99042853090130401</v>
      </c>
      <c r="E17" s="50">
        <f t="shared" si="2"/>
        <v>3.1374081954914167E-2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0.97613865240078301</v>
      </c>
      <c r="E18" s="54">
        <f t="shared" si="2"/>
        <v>1.6493442050175031E-2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0.97412571129189529</v>
      </c>
      <c r="E19" s="46">
        <f t="shared" si="2"/>
        <v>-2.097918463126101E-2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0.9988238959678134</v>
      </c>
      <c r="E20" s="50">
        <f t="shared" si="2"/>
        <v>3.8431115254406096E-3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0.99392081478532668</v>
      </c>
      <c r="E21" s="54">
        <f t="shared" si="2"/>
        <v>-1.0846082559530827E-3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1</v>
      </c>
      <c r="E22" s="46">
        <f t="shared" ref="E22:E27" si="3">(D22-C22)/(C22)</f>
        <v>1.0101010101010111E-2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0.99521431102106639</v>
      </c>
      <c r="E23" s="50">
        <f t="shared" si="3"/>
        <v>5.2669808293599983E-3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0.98524758862073547</v>
      </c>
      <c r="E24" s="54">
        <f t="shared" si="3"/>
        <v>-4.8004155346106272E-3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0.9991267822597979</v>
      </c>
      <c r="E25" s="46">
        <f t="shared" si="3"/>
        <v>3.0027610577111261E-2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0.99521431102106639</v>
      </c>
      <c r="E26" s="50">
        <f t="shared" si="3"/>
        <v>2.5994135073264348E-2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0.98524758862073547</v>
      </c>
      <c r="E27" s="54">
        <f t="shared" si="3"/>
        <v>1.5719163526531441E-2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0.39615944602272724</v>
      </c>
      <c r="E28" s="46">
        <f t="shared" ref="E28:E39" si="4">(D28-C28)/(C28)</f>
        <v>-0.26029899812444057</v>
      </c>
      <c r="F28" s="193"/>
    </row>
    <row r="29" spans="1:6">
      <c r="A29" s="361"/>
      <c r="B29" s="47" t="s">
        <v>33</v>
      </c>
      <c r="C29" s="62">
        <f>MonthlyKPI!$G$4</f>
        <v>0.53556699939332164</v>
      </c>
      <c r="D29" s="63">
        <f>MonthlyKPI!$H$4</f>
        <v>0.58050660188533054</v>
      </c>
      <c r="E29" s="50">
        <f t="shared" si="4"/>
        <v>8.3910327826239264E-2</v>
      </c>
      <c r="F29" s="194"/>
    </row>
    <row r="30" spans="1:6" ht="15" thickBot="1">
      <c r="A30" s="362"/>
      <c r="B30" s="51" t="s">
        <v>34</v>
      </c>
      <c r="C30" s="64">
        <f>AnnualKPI!$G$4</f>
        <v>0.27860508622015806</v>
      </c>
      <c r="D30" s="65">
        <f>AnnualKPI!$H$4</f>
        <v>0.35101219432991415</v>
      </c>
      <c r="E30" s="54">
        <f t="shared" si="4"/>
        <v>0.25989155148638915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0</v>
      </c>
      <c r="E32" s="50">
        <f t="shared" ref="E32:E33" si="5">-(D32-C32)/(C32)</f>
        <v>1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9.8249825188066949E-18</v>
      </c>
      <c r="E33" s="54">
        <f t="shared" si="5"/>
        <v>0.99999999999999989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1.9579603401902239E-4</v>
      </c>
      <c r="E34" s="46">
        <f>-(D34-C34)/(C34)</f>
        <v>0.99608407931961962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1.8942114764678033E-4</v>
      </c>
      <c r="E35" s="50">
        <f>-(D35-C35)/(C35)</f>
        <v>0.99621157704706442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1.6206329902711939E-4</v>
      </c>
      <c r="E36" s="54">
        <f>-(D36-C36)/(C36)</f>
        <v>0.99675873401945758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626.04</v>
      </c>
      <c r="D37" s="45">
        <f>IFERROR(_xlfn.XLOOKUP($B$4,'Daily KPI'!$A:$A,'Daily KPI'!$X:$X)/1000,"")</f>
        <v>669.351</v>
      </c>
      <c r="E37" s="46">
        <f t="shared" si="4"/>
        <v>6.9182480352693185E-2</v>
      </c>
      <c r="F37" s="193"/>
    </row>
    <row r="38" spans="1:6">
      <c r="A38" s="361"/>
      <c r="B38" s="47" t="s">
        <v>42</v>
      </c>
      <c r="C38" s="48">
        <f>MonthlyKPI!$T$4</f>
        <v>21283.940000000002</v>
      </c>
      <c r="D38" s="48">
        <f>IFERROR(SUMIF('Daily KPI'!$D:$D,O2Summary!$B$3,'Daily KPI'!$X:$X)/1000,"")</f>
        <v>21578.127</v>
      </c>
      <c r="E38" s="50">
        <f t="shared" si="4"/>
        <v>1.3822017915855713E-2</v>
      </c>
      <c r="F38" s="194"/>
    </row>
    <row r="39" spans="1:6" ht="15" thickBot="1">
      <c r="A39" s="362"/>
      <c r="B39" s="51" t="s">
        <v>43</v>
      </c>
      <c r="C39" s="52">
        <f>AnnualKPI!$Q$4</f>
        <v>66792.609999999986</v>
      </c>
      <c r="D39" s="52">
        <f>IFERROR(SUMIFS('Daily KPI'!$X:$X,'Daily KPI'!$A:$A,"&gt;="&amp;O2Summary!$B$6,'Daily KPI'!$A:$A,"&lt;="&amp;O2Summary!$B$4)/1000,"")</f>
        <v>67016.933000000005</v>
      </c>
      <c r="E39" s="54">
        <f t="shared" si="4"/>
        <v>3.3585002891789758E-3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31:A33"/>
    <mergeCell ref="A34:A36"/>
    <mergeCell ref="A37:A39"/>
    <mergeCell ref="A22:A24"/>
    <mergeCell ref="A28:A30"/>
    <mergeCell ref="A25:A27"/>
    <mergeCell ref="A19:A21"/>
    <mergeCell ref="A2:F2"/>
    <mergeCell ref="A10:A12"/>
    <mergeCell ref="A13:A15"/>
    <mergeCell ref="A16:A18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45860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113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6.9480309734513286</v>
      </c>
      <c r="E4" s="157">
        <f>_xlfn.XLOOKUP($C$1,'Modelling New'!$D:$D,'Modelling New'!$V:$V)</f>
        <v>53192.620365566443</v>
      </c>
      <c r="F4" s="160">
        <f>SUMIFS('Daily KPI'!$AA:$AA,'Daily KPI'!$A:$A,"&gt;="&amp;O2Summary!$B$6,'Daily KPI'!$A:$A,"&lt;="&amp;AnnualKPI!$B$1)/1000</f>
        <v>67016.933000000005</v>
      </c>
      <c r="G4" s="161">
        <f>_xlfn.XLOOKUP($C$1,'Modelling New'!$D:$D,'Modelling New'!$Y:$Y)</f>
        <v>0.27860508622015806</v>
      </c>
      <c r="H4" s="162">
        <f>IFERROR(F4/(B4*24*'Basic Data'!$L$2),"")</f>
        <v>0.35101219432991415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0.99392081478532668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0.99075467291150221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0.98524758862073547</v>
      </c>
      <c r="O4" s="161">
        <f>K4*M4</f>
        <v>0.96029999999999993</v>
      </c>
      <c r="P4" s="163">
        <f>L4*N4</f>
        <v>0.97613865240078301</v>
      </c>
      <c r="Q4" s="160">
        <f>SUMIFS('Daily KPI'!$AI:$AI,'Daily KPI'!$A:$A,"&gt;="&amp;O2Summary!$B$6,'Daily KPI'!$A:$A,"&lt;="&amp;AnnualKPI!$B$1)</f>
        <v>66792.609999999986</v>
      </c>
      <c r="R4" s="163">
        <f>AVERAGEIFS('Daily KPI'!AN:AN,'Daily KPI'!$A:$A,"&gt;="&amp;O2Summary!$B$6,'Daily KPI'!$A:$A,"&lt;="&amp;AnnualKPI!$B$1)</f>
        <v>9.8249825188066949E-18</v>
      </c>
      <c r="S4" s="163">
        <f>AVERAGEIFS('Daily KPI'!AO:AO,'Daily KPI'!$A:$A,"&gt;="&amp;O2Summary!$B$6,'Daily KPI'!$A:$A,"&lt;="&amp;AnnualKPI!$B$1)</f>
        <v>1.6206329902711939E-4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45860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22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9.060599173553717</v>
      </c>
      <c r="E4" s="157">
        <f>IFERROR(_xlfn.XLOOKUP($A$4,'Modelling New'!$D:$D,'Modelling New'!$U:$U),"")</f>
        <v>19907.668047849042</v>
      </c>
      <c r="F4" s="160">
        <f>IFERROR(SUMIFS('Daily KPI'!$AA:$AA,'Daily KPI'!$D:$D,$A$4)/1000,"")</f>
        <v>21578.127</v>
      </c>
      <c r="G4" s="161">
        <f>IFERROR(_xlfn.XLOOKUP($A$4,'Modelling New'!$D:$D,'Modelling New'!X:X),"")</f>
        <v>0.53556699939332164</v>
      </c>
      <c r="H4" s="162">
        <f>F4/(24*B4*'Basic Data'!$L$2)</f>
        <v>0.58050660188533054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0.9988238959678134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0.99519120649013548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0.99521431102106639</v>
      </c>
      <c r="O4" s="161">
        <f>IFERROR(_xlfn.XLOOKUP($A$4,'Modelling New'!$D:$D,'Modelling New'!$AE:$AE),"")</f>
        <v>0.96029999999999993</v>
      </c>
      <c r="P4" s="163">
        <f>L4*N4</f>
        <v>0.99042853090130401</v>
      </c>
      <c r="Q4" s="157">
        <f>SUMIFS('Daily KPI'!$X:$X,'Daily KPI'!$D:$D,$A$4)/1000</f>
        <v>21578.127</v>
      </c>
      <c r="R4" s="163">
        <f>Q4/F4-1</f>
        <v>0</v>
      </c>
      <c r="S4" s="157">
        <f>SUMIFS(Input_Raw!DP:DP,Input_Raw!A:A,"&gt;="&amp;A4,Input_Raw!A:A,"&lt;="&amp;B1)</f>
        <v>21283.940000000002</v>
      </c>
      <c r="T4" s="160">
        <f>SUMIFS('Daily KPI'!$AI:$AI,'Daily KPI'!$D:$D,$A$4)</f>
        <v>21283.940000000002</v>
      </c>
      <c r="U4" s="162">
        <f>AVERAGEIFS('Daily KPI'!$AN:$AN,'Daily KPI'!$A:$A,"&lt;="&amp;MonthlyKPI!$B$1,'Daily KPI'!$D:$D,$A$4)</f>
        <v>0</v>
      </c>
      <c r="V4" s="162">
        <f>AVERAGEIFS('Daily KPI'!$AO:$AO,'Daily KPI'!$A:$A,"&lt;="&amp;MonthlyKPI!$B$1,'Daily KPI'!$D:$D,$A$4)</f>
        <v>1.8942114764678033E-4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45854</v>
      </c>
      <c r="D7" s="24"/>
      <c r="F7" s="24"/>
    </row>
    <row r="8" spans="1:22" ht="29.15" customHeight="1">
      <c r="A8" s="20" t="s">
        <v>72</v>
      </c>
      <c r="B8" s="21">
        <f>B1</f>
        <v>45860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6.6515584415584401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3473.2379999999998</v>
      </c>
      <c r="G11" s="161">
        <f>E11/(24*$B$11*'Basic Data'!$L$2)</f>
        <v>0.53556699939332175</v>
      </c>
      <c r="H11" s="162">
        <f>F11/(24*B11*'Basic Data'!$L$2)</f>
        <v>0.2936652800324675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0.99605893742096385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0.98949113228012753</v>
      </c>
      <c r="O11" s="161">
        <f>IFERROR(_xlfn.XLOOKUP($A$11,'Modelling New'!$D:$D,'Modelling New'!$AE:$AE),"")</f>
        <v>0.96029999999999993</v>
      </c>
      <c r="P11" s="163">
        <f>L11*N11</f>
        <v>0.98559148580641021</v>
      </c>
      <c r="Q11" s="157">
        <f>SUMIFS(Input_Raw!DP:DP,Input_Raw!A:A,"&gt;="&amp;B7,Input_Raw!A:A,"&lt;="&amp;B8)</f>
        <v>3208.8999999999996</v>
      </c>
      <c r="R11"/>
    </row>
    <row r="14" spans="1:22" ht="29.15" customHeight="1">
      <c r="A14" s="20" t="s">
        <v>71</v>
      </c>
      <c r="B14" s="21">
        <f>B15-29</f>
        <v>45831</v>
      </c>
      <c r="D14" s="24"/>
      <c r="F14" s="24"/>
    </row>
    <row r="15" spans="1:22" ht="29.15" customHeight="1">
      <c r="A15" s="20" t="s">
        <v>72</v>
      </c>
      <c r="B15" s="21">
        <f>B8</f>
        <v>45860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9.7953787878787875</v>
      </c>
      <c r="E18" s="157">
        <f>SUMIFS('Daily KPI'!$AD:$AD,'Daily KPI'!$A:$A,"&gt;="&amp;$B$14,'Daily KPI'!$A:$A,"&lt;="&amp;$B$15)/1000</f>
        <v>24065.824825902357</v>
      </c>
      <c r="F18" s="160">
        <f>SUMIFS('Daily KPI'!$AA:$AA,'Daily KPI'!$A:$A,"&gt;="&amp;$B$14,'Daily KPI'!$A:$A,"&lt;="&amp;$B$15)/1000</f>
        <v>33193.610999999997</v>
      </c>
      <c r="G18" s="161">
        <f>E18/(24*$B$18*'Basic Data'!$L$2)</f>
        <v>0.47478347588980335</v>
      </c>
      <c r="H18" s="162">
        <f>F18/(24*B18*'Basic Data'!$L$2)</f>
        <v>0.65486132812499986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0.99419923592620074</v>
      </c>
      <c r="M18" s="161">
        <v>0.995</v>
      </c>
      <c r="N18" s="162">
        <f>AVERAGEIFS('Daily KPI'!$Q:$Q,'Daily KPI'!$A:$A,"&gt;="&amp;$B$14,'Daily KPI'!$A:$A,"&lt;="&amp;$B$15)</f>
        <v>0.99449153622909814</v>
      </c>
      <c r="O18" s="161">
        <f>K18*M18</f>
        <v>0.98107</v>
      </c>
      <c r="P18" s="163">
        <f>L18*N18</f>
        <v>0.98872272545404294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45833</v>
      </c>
    </row>
    <row r="3" spans="1:46" ht="29.15" customHeight="1">
      <c r="A3" s="83" t="s">
        <v>72</v>
      </c>
      <c r="B3" s="84">
        <f>O2Summary!B4</f>
        <v>45860</v>
      </c>
      <c r="C3">
        <f>((B3-B2)*1)*24</f>
        <v>648</v>
      </c>
      <c r="D3" s="75">
        <f>MEDIAN(B21:X21)</f>
        <v>9.2632142857142856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0.99822530864197534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0.99560185185185179</v>
      </c>
      <c r="J5" s="169">
        <f t="shared" si="0"/>
        <v>0.9980195473251029</v>
      </c>
      <c r="K5" s="169">
        <f t="shared" si="0"/>
        <v>0.98955761316872426</v>
      </c>
      <c r="L5" s="169">
        <f t="shared" si="0"/>
        <v>0.99210390946502058</v>
      </c>
      <c r="M5" s="169">
        <f t="shared" si="0"/>
        <v>0.99832818930041145</v>
      </c>
      <c r="N5" s="169">
        <f t="shared" si="0"/>
        <v>0.99230967078189303</v>
      </c>
      <c r="O5" s="169">
        <f t="shared" si="0"/>
        <v>1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0.99004629629629626</v>
      </c>
      <c r="U5" s="169">
        <f t="shared" si="0"/>
        <v>0.99650205761316879</v>
      </c>
      <c r="V5" s="169">
        <f t="shared" si="0"/>
        <v>0.99853395061728389</v>
      </c>
      <c r="W5" s="169">
        <f t="shared" si="0"/>
        <v>0.99655349794238679</v>
      </c>
      <c r="X5" s="169">
        <f t="shared" si="0"/>
        <v>0.9975823045267489</v>
      </c>
      <c r="Y5" s="169">
        <f t="shared" si="0"/>
        <v>0.97420267489711931</v>
      </c>
      <c r="Z5" s="169">
        <f t="shared" si="0"/>
        <v>0.99737654320987645</v>
      </c>
      <c r="AA5" s="169">
        <f t="shared" si="0"/>
        <v>0.99992283950617289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0.99776234567901223</v>
      </c>
      <c r="AE5" s="169">
        <f t="shared" si="0"/>
        <v>0.99835390946502045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0.98996913580246915</v>
      </c>
      <c r="AI5" s="169">
        <f t="shared" si="0"/>
        <v>0.99889403292181067</v>
      </c>
      <c r="AJ5" s="169">
        <f t="shared" si="0"/>
        <v>0.99724794238683134</v>
      </c>
      <c r="AK5" s="169">
        <f t="shared" si="0"/>
        <v>0.99740226337448568</v>
      </c>
      <c r="AL5" s="169">
        <f t="shared" si="0"/>
        <v>0.99987139917695467</v>
      </c>
      <c r="AM5" s="169">
        <f t="shared" si="0"/>
        <v>0.99819958847736634</v>
      </c>
      <c r="AN5" s="169">
        <f t="shared" si="0"/>
        <v>0.99989711934156367</v>
      </c>
      <c r="AO5" s="169">
        <f t="shared" si="0"/>
        <v>0.99699074074074068</v>
      </c>
      <c r="AP5" s="169">
        <f t="shared" si="0"/>
        <v>0.99889403292181067</v>
      </c>
      <c r="AQ5" s="169">
        <f t="shared" si="0"/>
        <v>0.99483024691358024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0.99496469322858172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1.1500000000000012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2.8500000000000005</v>
      </c>
      <c r="J6" s="171">
        <f>(SUMIFS(WTG_BD!$T:$T,WTG_BD!$G:$G,Analytics!J$4,WTG_BD!$F:$F,"&gt;="&amp;Analytics!$B$2,WTG_BD!$F:$F,"&lt;="&amp;Analytics!$B$3))</f>
        <v>1.2833333333333341</v>
      </c>
      <c r="K6" s="171">
        <f>(SUMIFS(WTG_BD!$T:$T,WTG_BD!$G:$G,Analytics!K$4,WTG_BD!$F:$F,"&gt;="&amp;Analytics!$B$2,WTG_BD!$F:$F,"&lt;="&amp;Analytics!$B$3))</f>
        <v>6.7666666666666639</v>
      </c>
      <c r="L6" s="171">
        <f>(SUMIFS(WTG_BD!$T:$T,WTG_BD!$G:$G,Analytics!L$4,WTG_BD!$F:$F,"&gt;="&amp;Analytics!$B$2,WTG_BD!$F:$F,"&lt;="&amp;Analytics!$B$3))</f>
        <v>5.1166666666666618</v>
      </c>
      <c r="M6" s="171">
        <f>(SUMIFS(WTG_BD!$T:$T,WTG_BD!$G:$G,Analytics!M$4,WTG_BD!$F:$F,"&gt;="&amp;Analytics!$B$2,WTG_BD!$F:$F,"&lt;="&amp;Analytics!$B$3))</f>
        <v>1.0833333333333348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6.4499999999999984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0.94999999999999929</v>
      </c>
      <c r="W6" s="171">
        <f>(SUMIFS(WTG_BD!$T:$T,WTG_BD!$G:$G,Analytics!W$4,WTG_BD!$F:$F,"&gt;="&amp;Analytics!$B$2,WTG_BD!$F:$F,"&lt;="&amp;Analytics!$B$3))</f>
        <v>2.2333333333333307</v>
      </c>
      <c r="X6" s="171">
        <f>(SUMIFS(WTG_BD!$T:$T,WTG_BD!$G:$G,Analytics!X$4,WTG_BD!$F:$F,"&gt;="&amp;Analytics!$B$2,WTG_BD!$F:$F,"&lt;="&amp;Analytics!$B$3))</f>
        <v>1.5666666666666664</v>
      </c>
      <c r="Y6" s="171">
        <f>(SUMIFS(WTG_BD!$T:$T,WTG_BD!$G:$G,Analytics!Y$4,WTG_BD!$F:$F,"&gt;="&amp;Analytics!$B$2,WTG_BD!$F:$F,"&lt;="&amp;Analytics!$B$3))</f>
        <v>16.716666666666669</v>
      </c>
      <c r="Z6" s="171">
        <f>(SUMIFS(WTG_BD!$T:$T,WTG_BD!$G:$G,Analytics!Z$4,WTG_BD!$F:$F,"&gt;="&amp;Analytics!$B$2,WTG_BD!$F:$F,"&lt;="&amp;Analytics!$B$3))</f>
        <v>1.7000000000000046</v>
      </c>
      <c r="AA6" s="171">
        <f>(SUMIFS(WTG_BD!$T:$T,WTG_BD!$G:$G,Analytics!AA$4,WTG_BD!$F:$F,"&gt;="&amp;Analytics!$B$2,WTG_BD!$F:$F,"&lt;="&amp;Analytics!$B$3))</f>
        <v>4.9999999999999822E-2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1.4500000000000002</v>
      </c>
      <c r="AE6" s="171">
        <f>(SUMIFS(WTG_BD!$T:$T,WTG_BD!$G:$G,Analytics!AE$4,WTG_BD!$F:$F,"&gt;="&amp;Analytics!$B$2,WTG_BD!$F:$F,"&lt;="&amp;Analytics!$B$3))</f>
        <v>1.0666666666666655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6.5</v>
      </c>
      <c r="AI6" s="171">
        <f>(SUMIFS(WTG_BD!$T:$T,WTG_BD!$G:$G,Analytics!AI$4,WTG_BD!$F:$F,"&gt;="&amp;Analytics!$B$2,WTG_BD!$F:$F,"&lt;="&amp;Analytics!$B$3))</f>
        <v>0.71666666666666945</v>
      </c>
      <c r="AJ6" s="171">
        <f>(SUMIFS(WTG_BD!$T:$T,WTG_BD!$G:$G,Analytics!AJ$4,WTG_BD!$F:$F,"&gt;="&amp;Analytics!$B$2,WTG_BD!$F:$F,"&lt;="&amp;Analytics!$B$3))</f>
        <v>1.783333333333333</v>
      </c>
      <c r="AK6" s="171">
        <f>(SUMIFS(WTG_BD!$T:$T,WTG_BD!$G:$G,Analytics!AK$4,WTG_BD!$F:$F,"&gt;="&amp;Analytics!$B$2,WTG_BD!$F:$F,"&lt;="&amp;Analytics!$B$3))</f>
        <v>1.6833333333333353</v>
      </c>
      <c r="AL6" s="171">
        <f>(SUMIFS(WTG_BD!$T:$T,WTG_BD!$G:$G,Analytics!AL$4,WTG_BD!$F:$F,"&gt;="&amp;Analytics!$B$2,WTG_BD!$F:$F,"&lt;="&amp;Analytics!$B$3))</f>
        <v>8.3333333333333037E-2</v>
      </c>
      <c r="AM6" s="171">
        <f>(SUMIFS(WTG_BD!$T:$T,WTG_BD!$G:$G,Analytics!AM$4,WTG_BD!$F:$F,"&gt;="&amp;Analytics!$B$2,WTG_BD!$F:$F,"&lt;="&amp;Analytics!$B$3))</f>
        <v>1.1666666666666679</v>
      </c>
      <c r="AN6" s="171">
        <f>(SUMIFS(WTG_BD!$T:$T,WTG_BD!$G:$G,Analytics!AN$4,WTG_BD!$F:$F,"&gt;="&amp;Analytics!$B$2,WTG_BD!$F:$F,"&lt;="&amp;Analytics!$B$3))</f>
        <v>6.666666666666643E-2</v>
      </c>
      <c r="AO6" s="171">
        <f>(SUMIFS(WTG_BD!$T:$T,WTG_BD!$G:$G,Analytics!AO$4,WTG_BD!$F:$F,"&gt;="&amp;Analytics!$B$2,WTG_BD!$F:$F,"&lt;="&amp;Analytics!$B$3))</f>
        <v>1.9500000000000011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3.3499999999999934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0.9979938271604939</v>
      </c>
      <c r="C7" s="172">
        <f t="shared" ref="C7:AS7" si="1">($C$3-SUM(C8:C12))/$C$3</f>
        <v>0.9979938271604939</v>
      </c>
      <c r="D7" s="172">
        <f t="shared" si="1"/>
        <v>0.9979938271604939</v>
      </c>
      <c r="E7" s="172">
        <f t="shared" si="1"/>
        <v>0.99894547325102889</v>
      </c>
      <c r="F7" s="172">
        <f t="shared" si="1"/>
        <v>1</v>
      </c>
      <c r="G7" s="172">
        <f t="shared" si="1"/>
        <v>1</v>
      </c>
      <c r="H7" s="172">
        <f t="shared" si="1"/>
        <v>0.9979938271604939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0.99894547325102889</v>
      </c>
      <c r="P7" s="172">
        <f t="shared" si="1"/>
        <v>0.99894547325102889</v>
      </c>
      <c r="Q7" s="172">
        <f t="shared" si="1"/>
        <v>0.99894547325102889</v>
      </c>
      <c r="R7" s="172">
        <f t="shared" si="1"/>
        <v>0.99894547325102889</v>
      </c>
      <c r="S7" s="172">
        <f t="shared" si="1"/>
        <v>0.9979938271604939</v>
      </c>
      <c r="T7" s="172">
        <f t="shared" si="1"/>
        <v>0.99894547325102889</v>
      </c>
      <c r="U7" s="172">
        <f t="shared" si="1"/>
        <v>0.99894547325102889</v>
      </c>
      <c r="V7" s="172">
        <f t="shared" si="1"/>
        <v>0.99894547325102889</v>
      </c>
      <c r="W7" s="172">
        <f t="shared" si="1"/>
        <v>0.99894547325102889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0.9979938271604939</v>
      </c>
      <c r="AC7" s="172">
        <f t="shared" si="1"/>
        <v>0.9979938271604939</v>
      </c>
      <c r="AD7" s="172">
        <f t="shared" si="1"/>
        <v>0.99894547325102889</v>
      </c>
      <c r="AE7" s="172">
        <f t="shared" si="1"/>
        <v>0.9979938271604939</v>
      </c>
      <c r="AF7" s="172">
        <f t="shared" si="1"/>
        <v>0.99894547325102889</v>
      </c>
      <c r="AG7" s="172">
        <f t="shared" si="1"/>
        <v>1</v>
      </c>
      <c r="AH7" s="172">
        <f t="shared" si="1"/>
        <v>1</v>
      </c>
      <c r="AI7" s="172">
        <f t="shared" si="1"/>
        <v>1</v>
      </c>
      <c r="AJ7" s="172">
        <f t="shared" si="1"/>
        <v>0.99894547325102889</v>
      </c>
      <c r="AK7" s="172">
        <f t="shared" si="1"/>
        <v>1</v>
      </c>
      <c r="AL7" s="172">
        <f t="shared" si="1"/>
        <v>1</v>
      </c>
      <c r="AM7" s="172">
        <f t="shared" si="1"/>
        <v>1</v>
      </c>
      <c r="AN7" s="172">
        <f t="shared" si="1"/>
        <v>1</v>
      </c>
      <c r="AO7" s="172">
        <f t="shared" si="1"/>
        <v>0.9979938271604939</v>
      </c>
      <c r="AP7" s="172">
        <f t="shared" si="1"/>
        <v>0.9979938271604939</v>
      </c>
      <c r="AQ7" s="172">
        <f t="shared" si="1"/>
        <v>0.9979938271604939</v>
      </c>
      <c r="AR7" s="172">
        <f t="shared" si="1"/>
        <v>0.9979938271604939</v>
      </c>
      <c r="AS7" s="172">
        <f t="shared" si="1"/>
        <v>0.9979938271604939</v>
      </c>
      <c r="AT7" s="85">
        <f t="shared" ref="AT7:AT21" si="2">AVERAGE(B7:AS7)</f>
        <v>0.99911966891133552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1.3000000000000007</v>
      </c>
      <c r="C9" s="267">
        <f>SUMIFS(IGA_BD!$Q:$Q,IGA_BD!$G:$G,(VLOOKUP(C$4,'Basic Data'!$A:$F,6,0)),IGA_BD!$F:$F,"&gt;="&amp;Analytics!$B$2,IGA_BD!$F:$F,"&lt;="&amp;Analytics!$B$3)</f>
        <v>1.3000000000000007</v>
      </c>
      <c r="D9" s="267">
        <f>SUMIFS(IGA_BD!$Q:$Q,IGA_BD!$G:$G,(VLOOKUP(D$4,'Basic Data'!$A:$F,6,0)),IGA_BD!$F:$F,"&gt;="&amp;Analytics!$B$2,IGA_BD!$F:$F,"&lt;="&amp;Analytics!$B$3)</f>
        <v>1.3000000000000007</v>
      </c>
      <c r="E9" s="267">
        <f>SUMIFS(IGA_BD!$Q:$Q,IGA_BD!$G:$G,(VLOOKUP(E$4,'Basic Data'!$A:$F,6,0)),IGA_BD!$F:$F,"&gt;="&amp;Analytics!$B$2,IGA_BD!$F:$F,"&lt;="&amp;Analytics!$B$3)</f>
        <v>0.68333333333333357</v>
      </c>
      <c r="F9" s="267">
        <f>SUMIFS(IGA_BD!$Q:$Q,IGA_BD!$G:$G,(VLOOKUP(F$4,'Basic Data'!$A:$F,6,0)),IGA_BD!$F:$F,"&gt;="&amp;Analytics!$B$2,IGA_BD!$F:$F,"&lt;="&amp;Analytics!$B$3)</f>
        <v>0</v>
      </c>
      <c r="G9" s="267">
        <f>SUMIFS(IGA_BD!$Q:$Q,IGA_BD!$G:$G,(VLOOKUP(G$4,'Basic Data'!$A:$F,6,0)),IGA_BD!$F:$F,"&gt;="&amp;Analytics!$B$2,IGA_BD!$F:$F,"&lt;="&amp;Analytics!$B$3)</f>
        <v>0</v>
      </c>
      <c r="H9" s="267">
        <f>SUMIFS(IGA_BD!$Q:$Q,IGA_BD!$G:$G,(VLOOKUP(H$4,'Basic Data'!$A:$F,6,0)),IGA_BD!$F:$F,"&gt;="&amp;Analytics!$B$2,IGA_BD!$F:$F,"&lt;="&amp;Analytics!$B$3)</f>
        <v>1.3000000000000007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0.68333333333333357</v>
      </c>
      <c r="P9" s="267">
        <f>SUMIFS(IGA_BD!$Q:$Q,IGA_BD!$G:$G,(VLOOKUP(P$4,'Basic Data'!$A:$F,6,0)),IGA_BD!$F:$F,"&gt;="&amp;Analytics!$B$2,IGA_BD!$F:$F,"&lt;="&amp;Analytics!$B$3)</f>
        <v>0.68333333333333357</v>
      </c>
      <c r="Q9" s="267">
        <f>SUMIFS(IGA_BD!$Q:$Q,IGA_BD!$G:$G,(VLOOKUP(Q$4,'Basic Data'!$A:$F,6,0)),IGA_BD!$F:$F,"&gt;="&amp;Analytics!$B$2,IGA_BD!$F:$F,"&lt;="&amp;Analytics!$B$3)</f>
        <v>0.68333333333333357</v>
      </c>
      <c r="R9" s="267">
        <f>SUMIFS(IGA_BD!$Q:$Q,IGA_BD!$G:$G,(VLOOKUP(R$4,'Basic Data'!$A:$F,6,0)),IGA_BD!$F:$F,"&gt;="&amp;Analytics!$B$2,IGA_BD!$F:$F,"&lt;="&amp;Analytics!$B$3)</f>
        <v>0.68333333333333357</v>
      </c>
      <c r="S9" s="267">
        <f>SUMIFS(IGA_BD!$Q:$Q,IGA_BD!$G:$G,(VLOOKUP(S$4,'Basic Data'!$A:$F,6,0)),IGA_BD!$F:$F,"&gt;="&amp;Analytics!$B$2,IGA_BD!$F:$F,"&lt;="&amp;Analytics!$B$3)</f>
        <v>1.3000000000000007</v>
      </c>
      <c r="T9" s="267">
        <f>SUMIFS(IGA_BD!$Q:$Q,IGA_BD!$G:$G,(VLOOKUP(T$4,'Basic Data'!$A:$F,6,0)),IGA_BD!$F:$F,"&gt;="&amp;Analytics!$B$2,IGA_BD!$F:$F,"&lt;="&amp;Analytics!$B$3)</f>
        <v>0.68333333333333357</v>
      </c>
      <c r="U9" s="267">
        <f>SUMIFS(IGA_BD!$Q:$Q,IGA_BD!$G:$G,(VLOOKUP(U$4,'Basic Data'!$A:$F,6,0)),IGA_BD!$F:$F,"&gt;="&amp;Analytics!$B$2,IGA_BD!$F:$F,"&lt;="&amp;Analytics!$B$3)</f>
        <v>0.68333333333333357</v>
      </c>
      <c r="V9" s="267">
        <f>SUMIFS(IGA_BD!$Q:$Q,IGA_BD!$G:$G,(VLOOKUP(V$4,'Basic Data'!$A:$F,6,0)),IGA_BD!$F:$F,"&gt;="&amp;Analytics!$B$2,IGA_BD!$F:$F,"&lt;="&amp;Analytics!$B$3)</f>
        <v>0.68333333333333357</v>
      </c>
      <c r="W9" s="267">
        <f>SUMIFS(IGA_BD!$Q:$Q,IGA_BD!$G:$G,(VLOOKUP(W$4,'Basic Data'!$A:$F,6,0)),IGA_BD!$F:$F,"&gt;="&amp;Analytics!$B$2,IGA_BD!$F:$F,"&lt;="&amp;Analytics!$B$3)</f>
        <v>0.68333333333333357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1.3000000000000007</v>
      </c>
      <c r="AC9" s="267">
        <f>SUMIFS(IGA_BD!$Q:$Q,IGA_BD!$G:$G,(VLOOKUP(AC$4,'Basic Data'!$A:$F,6,0)),IGA_BD!$F:$F,"&gt;="&amp;Analytics!$B$2,IGA_BD!$F:$F,"&lt;="&amp;Analytics!$B$3)</f>
        <v>1.3000000000000007</v>
      </c>
      <c r="AD9" s="267">
        <f>SUMIFS(IGA_BD!$Q:$Q,IGA_BD!$G:$G,(VLOOKUP(AD$4,'Basic Data'!$A:$F,6,0)),IGA_BD!$F:$F,"&gt;="&amp;Analytics!$B$2,IGA_BD!$F:$F,"&lt;="&amp;Analytics!$B$3)</f>
        <v>0.68333333333333357</v>
      </c>
      <c r="AE9" s="267">
        <f>SUMIFS(IGA_BD!$Q:$Q,IGA_BD!$G:$G,(VLOOKUP(AE$4,'Basic Data'!$A:$F,6,0)),IGA_BD!$F:$F,"&gt;="&amp;Analytics!$B$2,IGA_BD!$F:$F,"&lt;="&amp;Analytics!$B$3)</f>
        <v>1.3000000000000007</v>
      </c>
      <c r="AF9" s="267">
        <f>SUMIFS(IGA_BD!$Q:$Q,IGA_BD!$G:$G,(VLOOKUP(AF$4,'Basic Data'!$A:$F,6,0)),IGA_BD!$F:$F,"&gt;="&amp;Analytics!$B$2,IGA_BD!$F:$F,"&lt;="&amp;Analytics!$B$3)</f>
        <v>0.68333333333333357</v>
      </c>
      <c r="AG9" s="267">
        <f>SUMIFS(IGA_BD!$Q:$Q,IGA_BD!$G:$G,(VLOOKUP(AG$4,'Basic Data'!$A:$F,6,0)),IGA_BD!$F:$F,"&gt;="&amp;Analytics!$B$2,IGA_BD!$F:$F,"&lt;="&amp;Analytics!$B$3)</f>
        <v>0</v>
      </c>
      <c r="AH9" s="267">
        <f>SUMIFS(IGA_BD!$Q:$Q,IGA_BD!$G:$G,(VLOOKUP(AH$4,'Basic Data'!$A:$F,6,0)),IGA_BD!$F:$F,"&gt;="&amp;Analytics!$B$2,IGA_BD!$F:$F,"&lt;="&amp;Analytics!$B$3)</f>
        <v>0</v>
      </c>
      <c r="AI9" s="267">
        <f>SUMIFS(IGA_BD!$Q:$Q,IGA_BD!$G:$G,(VLOOKUP(AI$4,'Basic Data'!$A:$F,6,0)),IGA_BD!$F:$F,"&gt;="&amp;Analytics!$B$2,IGA_BD!$F:$F,"&lt;="&amp;Analytics!$B$3)</f>
        <v>0</v>
      </c>
      <c r="AJ9" s="267">
        <f>SUMIFS(IGA_BD!$Q:$Q,IGA_BD!$G:$G,(VLOOKUP(AJ$4,'Basic Data'!$A:$F,6,0)),IGA_BD!$F:$F,"&gt;="&amp;Analytics!$B$2,IGA_BD!$F:$F,"&lt;="&amp;Analytics!$B$3)</f>
        <v>0.68333333333333357</v>
      </c>
      <c r="AK9" s="267">
        <f>SUMIFS(IGA_BD!$Q:$Q,IGA_BD!$G:$G,(VLOOKUP(AK$4,'Basic Data'!$A:$F,6,0)),IGA_BD!$F:$F,"&gt;="&amp;Analytics!$B$2,IGA_BD!$F:$F,"&lt;="&amp;Analytics!$B$3)</f>
        <v>0</v>
      </c>
      <c r="AL9" s="267">
        <f>SUMIFS(IGA_BD!$Q:$Q,IGA_BD!$G:$G,(VLOOKUP(AL$4,'Basic Data'!$A:$F,6,0)),IGA_BD!$F:$F,"&gt;="&amp;Analytics!$B$2,IGA_BD!$F:$F,"&lt;="&amp;Analytics!$B$3)</f>
        <v>0</v>
      </c>
      <c r="AM9" s="267">
        <f>SUMIFS(IGA_BD!$Q:$Q,IGA_BD!$G:$G,(VLOOKUP(AM$4,'Basic Data'!$A:$F,6,0)),IGA_BD!$F:$F,"&gt;="&amp;Analytics!$B$2,IGA_BD!$F:$F,"&lt;="&amp;Analytics!$B$3)</f>
        <v>0</v>
      </c>
      <c r="AN9" s="267">
        <f>SUMIFS(IGA_BD!$Q:$Q,IGA_BD!$G:$G,(VLOOKUP(AN$4,'Basic Data'!$A:$F,6,0)),IGA_BD!$F:$F,"&gt;="&amp;Analytics!$B$2,IGA_BD!$F:$F,"&lt;="&amp;Analytics!$B$3)</f>
        <v>0</v>
      </c>
      <c r="AO9" s="267">
        <f>SUMIFS(IGA_BD!$Q:$Q,IGA_BD!$G:$G,(VLOOKUP(AO$4,'Basic Data'!$A:$F,6,0)),IGA_BD!$F:$F,"&gt;="&amp;Analytics!$B$2,IGA_BD!$F:$F,"&lt;="&amp;Analytics!$B$3)</f>
        <v>1.3000000000000007</v>
      </c>
      <c r="AP9" s="267">
        <f>SUMIFS(IGA_BD!$Q:$Q,IGA_BD!$G:$G,(VLOOKUP(AP$4,'Basic Data'!$A:$F,6,0)),IGA_BD!$F:$F,"&gt;="&amp;Analytics!$B$2,IGA_BD!$F:$F,"&lt;="&amp;Analytics!$B$3)</f>
        <v>1.3000000000000007</v>
      </c>
      <c r="AQ9" s="267">
        <f>SUMIFS(IGA_BD!$Q:$Q,IGA_BD!$G:$G,(VLOOKUP(AQ$4,'Basic Data'!$A:$F,6,0)),IGA_BD!$F:$F,"&gt;="&amp;Analytics!$B$2,IGA_BD!$F:$F,"&lt;="&amp;Analytics!$B$3)</f>
        <v>1.3000000000000007</v>
      </c>
      <c r="AR9" s="267">
        <f>SUMIFS(IGA_BD!$Q:$Q,IGA_BD!$G:$G,(VLOOKUP(AR$4,'Basic Data'!$A:$F,6,0)),IGA_BD!$F:$F,"&gt;="&amp;Analytics!$B$2,IGA_BD!$F:$F,"&lt;="&amp;Analytics!$B$3)</f>
        <v>1.3000000000000007</v>
      </c>
      <c r="AS9" s="267">
        <f>SUMIFS(IGA_BD!$Q:$Q,IGA_BD!$G:$G,(VLOOKUP(AS$4,'Basic Data'!$A:$F,6,0)),IGA_BD!$F:$F,"&gt;="&amp;Analytics!$B$2,IGA_BD!$F:$F,"&lt;="&amp;Analytics!$B$3)</f>
        <v>1.3000000000000007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785144</v>
      </c>
      <c r="C15" s="173">
        <f>SUMIFS(Input_Raw!G:G,Input_Raw!$A:$A,"&gt;="&amp;Analytics!$B$2,Input_Raw!$A:$A,"&lt;="&amp;Analytics!$B$3)</f>
        <v>702048</v>
      </c>
      <c r="D15" s="173">
        <f>SUMIFS(Input_Raw!H:H,Input_Raw!$A:$A,"&gt;="&amp;Analytics!$B$2,Input_Raw!$A:$A,"&lt;="&amp;Analytics!$B$3)</f>
        <v>630536</v>
      </c>
      <c r="E15" s="173">
        <f>SUMIFS(Input_Raw!I:I,Input_Raw!$A:$A,"&gt;="&amp;Analytics!$B$2,Input_Raw!$A:$A,"&lt;="&amp;Analytics!$B$3)</f>
        <v>721338</v>
      </c>
      <c r="F15" s="173">
        <f>SUMIFS(Input_Raw!J:J,Input_Raw!$A:$A,"&gt;="&amp;Analytics!$B$2,Input_Raw!$A:$A,"&lt;="&amp;Analytics!$B$3)</f>
        <v>769036</v>
      </c>
      <c r="G15" s="173">
        <f>SUMIFS(Input_Raw!K:K,Input_Raw!$A:$A,"&gt;="&amp;Analytics!$B$2,Input_Raw!$A:$A,"&lt;="&amp;Analytics!$B$3)</f>
        <v>719776</v>
      </c>
      <c r="H15" s="173">
        <f>SUMIFS(Input_Raw!L:L,Input_Raw!$A:$A,"&gt;="&amp;Analytics!$B$2,Input_Raw!$A:$A,"&lt;="&amp;Analytics!$B$3)</f>
        <v>714438</v>
      </c>
      <c r="I15" s="173">
        <f>SUMIFS(Input_Raw!M:M,Input_Raw!$A:$A,"&gt;="&amp;Analytics!$B$2,Input_Raw!$A:$A,"&lt;="&amp;Analytics!$B$3)</f>
        <v>629256</v>
      </c>
      <c r="J15" s="173">
        <f>SUMIFS(Input_Raw!N:N,Input_Raw!$A:$A,"&gt;="&amp;Analytics!$B$2,Input_Raw!$A:$A,"&lt;="&amp;Analytics!$B$3)</f>
        <v>511260</v>
      </c>
      <c r="K15" s="173">
        <f>SUMIFS(Input_Raw!O:O,Input_Raw!$A:$A,"&gt;="&amp;Analytics!$B$2,Input_Raw!$A:$A,"&lt;="&amp;Analytics!$B$3)</f>
        <v>556468</v>
      </c>
      <c r="L15" s="173">
        <f>SUMIFS(Input_Raw!P:P,Input_Raw!$A:$A,"&gt;="&amp;Analytics!$B$2,Input_Raw!$A:$A,"&lt;="&amp;Analytics!$B$3)</f>
        <v>659790</v>
      </c>
      <c r="M15" s="173">
        <f>SUMIFS(Input_Raw!Q:Q,Input_Raw!$A:$A,"&gt;="&amp;Analytics!$B$2,Input_Raw!$A:$A,"&lt;="&amp;Analytics!$B$3)</f>
        <v>724240</v>
      </c>
      <c r="N15" s="173">
        <f>SUMIFS(Input_Raw!R:R,Input_Raw!$A:$A,"&gt;="&amp;Analytics!$B$2,Input_Raw!$A:$A,"&lt;="&amp;Analytics!$B$3)</f>
        <v>714824</v>
      </c>
      <c r="O15" s="173">
        <f>SUMIFS(Input_Raw!S:S,Input_Raw!$A:$A,"&gt;="&amp;Analytics!$B$2,Input_Raw!$A:$A,"&lt;="&amp;Analytics!$B$3)</f>
        <v>652980</v>
      </c>
      <c r="P15" s="173">
        <f>SUMIFS(Input_Raw!T:T,Input_Raw!$A:$A,"&gt;="&amp;Analytics!$B$2,Input_Raw!$A:$A,"&lt;="&amp;Analytics!$B$3)</f>
        <v>605208</v>
      </c>
      <c r="Q15" s="173">
        <f>SUMIFS(Input_Raw!U:U,Input_Raw!$A:$A,"&gt;="&amp;Analytics!$B$2,Input_Raw!$A:$A,"&lt;="&amp;Analytics!$B$3)</f>
        <v>649416</v>
      </c>
      <c r="R15" s="173">
        <f>SUMIFS(Input_Raw!V:V,Input_Raw!$A:$A,"&gt;="&amp;Analytics!$B$2,Input_Raw!$A:$A,"&lt;="&amp;Analytics!$B$3)</f>
        <v>674392</v>
      </c>
      <c r="S15" s="173">
        <f>SUMIFS(Input_Raw!W:W,Input_Raw!$A:$A,"&gt;="&amp;Analytics!$B$2,Input_Raw!$A:$A,"&lt;="&amp;Analytics!$B$3)</f>
        <v>684884</v>
      </c>
      <c r="T15" s="173">
        <f>SUMIFS(Input_Raw!X:X,Input_Raw!$A:$A,"&gt;="&amp;Analytics!$B$2,Input_Raw!$A:$A,"&lt;="&amp;Analytics!$B$3)</f>
        <v>622624</v>
      </c>
      <c r="U15" s="173">
        <f>SUMIFS(Input_Raw!Y:Y,Input_Raw!$A:$A,"&gt;="&amp;Analytics!$B$2,Input_Raw!$A:$A,"&lt;="&amp;Analytics!$B$3)</f>
        <v>557875</v>
      </c>
      <c r="V15" s="173">
        <f>SUMIFS(Input_Raw!Z:Z,Input_Raw!$A:$A,"&gt;="&amp;Analytics!$B$2,Input_Raw!$A:$A,"&lt;="&amp;Analytics!$B$3)</f>
        <v>707864</v>
      </c>
      <c r="W15" s="173">
        <f>SUMIFS(Input_Raw!AA:AA,Input_Raw!$A:$A,"&gt;="&amp;Analytics!$B$2,Input_Raw!$A:$A,"&lt;="&amp;Analytics!$B$3)</f>
        <v>648404</v>
      </c>
      <c r="X15" s="173">
        <f>SUMIFS(Input_Raw!AB:AB,Input_Raw!$A:$A,"&gt;="&amp;Analytics!$B$2,Input_Raw!$A:$A,"&lt;="&amp;Analytics!$B$3)</f>
        <v>643016</v>
      </c>
      <c r="Y15" s="173">
        <f>SUMIFS(Input_Raw!AC:AC,Input_Raw!$A:$A,"&gt;="&amp;Analytics!$B$2,Input_Raw!$A:$A,"&lt;="&amp;Analytics!$B$3)</f>
        <v>664216</v>
      </c>
      <c r="Z15" s="173">
        <f>SUMIFS(Input_Raw!AD:AD,Input_Raw!$A:$A,"&gt;="&amp;Analytics!$B$2,Input_Raw!$A:$A,"&lt;="&amp;Analytics!$B$3)</f>
        <v>702520</v>
      </c>
      <c r="AA15" s="173">
        <f>SUMIFS(Input_Raw!AE:AE,Input_Raw!$A:$A,"&gt;="&amp;Analytics!$B$2,Input_Raw!$A:$A,"&lt;="&amp;Analytics!$B$3)</f>
        <v>665824</v>
      </c>
      <c r="AB15" s="173">
        <f>SUMIFS(Input_Raw!AF:AF,Input_Raw!$A:$A,"&gt;="&amp;Analytics!$B$2,Input_Raw!$A:$A,"&lt;="&amp;Analytics!$B$3)</f>
        <v>590264</v>
      </c>
      <c r="AC15" s="173">
        <f>SUMIFS(Input_Raw!AG:AG,Input_Raw!$A:$A,"&gt;="&amp;Analytics!$B$2,Input_Raw!$A:$A,"&lt;="&amp;Analytics!$B$3)</f>
        <v>612216</v>
      </c>
      <c r="AD15" s="173">
        <f>SUMIFS(Input_Raw!AH:AH,Input_Raw!$A:$A,"&gt;="&amp;Analytics!$B$2,Input_Raw!$A:$A,"&lt;="&amp;Analytics!$B$3)</f>
        <v>725276</v>
      </c>
      <c r="AE15" s="173">
        <f>SUMIFS(Input_Raw!AI:AI,Input_Raw!$A:$A,"&gt;="&amp;Analytics!$B$2,Input_Raw!$A:$A,"&lt;="&amp;Analytics!$B$3)</f>
        <v>690094</v>
      </c>
      <c r="AF15" s="173">
        <f>SUMIFS(Input_Raw!AJ:AJ,Input_Raw!$A:$A,"&gt;="&amp;Analytics!$B$2,Input_Raw!$A:$A,"&lt;="&amp;Analytics!$B$3)</f>
        <v>646366</v>
      </c>
      <c r="AG15" s="173">
        <f>SUMIFS(Input_Raw!AK:AK,Input_Raw!$A:$A,"&gt;="&amp;Analytics!$B$2,Input_Raw!$A:$A,"&lt;="&amp;Analytics!$B$3)</f>
        <v>567780</v>
      </c>
      <c r="AH15" s="173">
        <f>SUMIFS(Input_Raw!AL:AL,Input_Raw!$A:$A,"&gt;="&amp;Analytics!$B$2,Input_Raw!$A:$A,"&lt;="&amp;Analytics!$B$3)</f>
        <v>753364</v>
      </c>
      <c r="AI15" s="173">
        <f>SUMIFS(Input_Raw!AM:AM,Input_Raw!$A:$A,"&gt;="&amp;Analytics!$B$2,Input_Raw!$A:$A,"&lt;="&amp;Analytics!$B$3)</f>
        <v>747248</v>
      </c>
      <c r="AJ15" s="173">
        <f>SUMIFS(Input_Raw!AN:AN,Input_Raw!$A:$A,"&gt;="&amp;Analytics!$B$2,Input_Raw!$A:$A,"&lt;="&amp;Analytics!$B$3)</f>
        <v>581980</v>
      </c>
      <c r="AK15" s="173">
        <f>SUMIFS(Input_Raw!AO:AO,Input_Raw!$A:$A,"&gt;="&amp;Analytics!$B$2,Input_Raw!$A:$A,"&lt;="&amp;Analytics!$B$3)</f>
        <v>822732</v>
      </c>
      <c r="AL15" s="173">
        <f>SUMIFS(Input_Raw!AP:AP,Input_Raw!$A:$A,"&gt;="&amp;Analytics!$B$2,Input_Raw!$A:$A,"&lt;="&amp;Analytics!$B$3)</f>
        <v>824440</v>
      </c>
      <c r="AM15" s="173">
        <f>SUMIFS(Input_Raw!AQ:AQ,Input_Raw!$A:$A,"&gt;="&amp;Analytics!$B$2,Input_Raw!$A:$A,"&lt;="&amp;Analytics!$B$3)</f>
        <v>756088</v>
      </c>
      <c r="AN15" s="173">
        <f>SUMIFS(Input_Raw!AR:AR,Input_Raw!$A:$A,"&gt;="&amp;Analytics!$B$2,Input_Raw!$A:$A,"&lt;="&amp;Analytics!$B$3)</f>
        <v>801016</v>
      </c>
      <c r="AO15" s="173">
        <f>SUMIFS(Input_Raw!AS:AS,Input_Raw!$A:$A,"&gt;="&amp;Analytics!$B$2,Input_Raw!$A:$A,"&lt;="&amp;Analytics!$B$3)</f>
        <v>669954</v>
      </c>
      <c r="AP15" s="173">
        <f>SUMIFS(Input_Raw!AT:AT,Input_Raw!$A:$A,"&gt;="&amp;Analytics!$B$2,Input_Raw!$A:$A,"&lt;="&amp;Analytics!$B$3)</f>
        <v>737156</v>
      </c>
      <c r="AQ15" s="173">
        <f>SUMIFS(Input_Raw!AU:AU,Input_Raw!$A:$A,"&gt;="&amp;Analytics!$B$2,Input_Raw!$A:$A,"&lt;="&amp;Analytics!$B$3)</f>
        <v>720356</v>
      </c>
      <c r="AR15" s="173">
        <f>SUMIFS(Input_Raw!AV:AV,Input_Raw!$A:$A,"&gt;="&amp;Analytics!$B$2,Input_Raw!$A:$A,"&lt;="&amp;Analytics!$B$3)</f>
        <v>821924</v>
      </c>
      <c r="AS15" s="173">
        <f>SUMIFS(Input_Raw!AW:AW,Input_Raw!$A:$A,"&gt;="&amp;Analytics!$B$2,Input_Raw!$A:$A,"&lt;="&amp;Analytics!$B$3)</f>
        <v>771304</v>
      </c>
      <c r="AT15">
        <f>SUM(B15:AS15)</f>
        <v>30156935</v>
      </c>
    </row>
    <row r="16" spans="1:46" ht="29.15" customHeight="1">
      <c r="A16" s="167" t="s">
        <v>131</v>
      </c>
      <c r="B16" s="172">
        <f>($C$3-(SUM(B8:B12,B14,B6)))/$C$3</f>
        <v>0.98366769547325095</v>
      </c>
      <c r="C16" s="172">
        <f t="shared" ref="C16:AS16" si="34">($C$3-(SUM(C8:C12,C14,C6)))/$C$3</f>
        <v>0.99138374485596703</v>
      </c>
      <c r="D16" s="172">
        <f t="shared" si="34"/>
        <v>0.95082304526748973</v>
      </c>
      <c r="E16" s="172">
        <f t="shared" si="34"/>
        <v>0.99717078189300401</v>
      </c>
      <c r="F16" s="172">
        <f t="shared" si="34"/>
        <v>0.99732510288065845</v>
      </c>
      <c r="G16" s="172">
        <f t="shared" si="34"/>
        <v>0.98842592592592593</v>
      </c>
      <c r="H16" s="172">
        <f t="shared" si="34"/>
        <v>0.99621913580246901</v>
      </c>
      <c r="I16" s="172">
        <f t="shared" si="34"/>
        <v>0.99560185185185179</v>
      </c>
      <c r="J16" s="172">
        <f t="shared" si="34"/>
        <v>0.9980195473251029</v>
      </c>
      <c r="K16" s="172">
        <f t="shared" si="34"/>
        <v>0.98955761316872426</v>
      </c>
      <c r="L16" s="172">
        <f t="shared" si="34"/>
        <v>0.99210390946502058</v>
      </c>
      <c r="M16" s="172">
        <f t="shared" si="34"/>
        <v>0.99832818930041145</v>
      </c>
      <c r="N16" s="172">
        <f t="shared" si="34"/>
        <v>0.99230967078189303</v>
      </c>
      <c r="O16" s="172">
        <f t="shared" si="34"/>
        <v>0.99894547325102889</v>
      </c>
      <c r="P16" s="172">
        <f t="shared" si="34"/>
        <v>0.99639917695473246</v>
      </c>
      <c r="Q16" s="172">
        <f t="shared" si="34"/>
        <v>0.99889403292181067</v>
      </c>
      <c r="R16" s="172">
        <f t="shared" si="34"/>
        <v>0.99781378600823056</v>
      </c>
      <c r="S16" s="172">
        <f t="shared" si="34"/>
        <v>0.99621913580246901</v>
      </c>
      <c r="T16" s="172">
        <f t="shared" si="34"/>
        <v>0.98899176954732515</v>
      </c>
      <c r="U16" s="172">
        <f t="shared" si="34"/>
        <v>0.99544753086419746</v>
      </c>
      <c r="V16" s="172">
        <f t="shared" si="34"/>
        <v>0.99747942386831279</v>
      </c>
      <c r="W16" s="172">
        <f t="shared" si="34"/>
        <v>0.99549897119341568</v>
      </c>
      <c r="X16" s="172">
        <f t="shared" si="34"/>
        <v>0.9975823045267489</v>
      </c>
      <c r="Y16" s="172">
        <f t="shared" si="34"/>
        <v>0.97420267489711931</v>
      </c>
      <c r="Z16" s="172">
        <f t="shared" si="34"/>
        <v>0.99737654320987645</v>
      </c>
      <c r="AA16" s="172">
        <f t="shared" si="34"/>
        <v>0.99992283950617289</v>
      </c>
      <c r="AB16" s="172">
        <f t="shared" si="34"/>
        <v>0.9961162551440329</v>
      </c>
      <c r="AC16" s="172">
        <f t="shared" si="34"/>
        <v>0.99490740740740746</v>
      </c>
      <c r="AD16" s="172">
        <f t="shared" si="34"/>
        <v>0.99670781893004112</v>
      </c>
      <c r="AE16" s="172">
        <f t="shared" si="34"/>
        <v>0.9946502057613168</v>
      </c>
      <c r="AF16" s="172">
        <f t="shared" si="34"/>
        <v>0.9980195473251029</v>
      </c>
      <c r="AG16" s="172">
        <f t="shared" si="34"/>
        <v>0.97942386831275718</v>
      </c>
      <c r="AH16" s="172">
        <f t="shared" si="34"/>
        <v>0.98739711934156382</v>
      </c>
      <c r="AI16" s="172">
        <f t="shared" si="34"/>
        <v>0.99632201646090535</v>
      </c>
      <c r="AJ16" s="172">
        <f t="shared" si="34"/>
        <v>0.99619341563786001</v>
      </c>
      <c r="AK16" s="172">
        <f t="shared" si="34"/>
        <v>0.99483024691358024</v>
      </c>
      <c r="AL16" s="172">
        <f t="shared" si="34"/>
        <v>0.99729938271604934</v>
      </c>
      <c r="AM16" s="172">
        <f t="shared" si="34"/>
        <v>0.99562757201646079</v>
      </c>
      <c r="AN16" s="172">
        <f t="shared" si="34"/>
        <v>0.99732510288065845</v>
      </c>
      <c r="AO16" s="172">
        <f t="shared" si="34"/>
        <v>0.99328703703703702</v>
      </c>
      <c r="AP16" s="172">
        <f t="shared" si="34"/>
        <v>0.99519032921810702</v>
      </c>
      <c r="AQ16" s="172">
        <f t="shared" si="34"/>
        <v>0.99112654320987659</v>
      </c>
      <c r="AR16" s="172">
        <f t="shared" si="34"/>
        <v>0.99619341563786001</v>
      </c>
      <c r="AS16" s="172">
        <f t="shared" si="34"/>
        <v>0.98816872427983549</v>
      </c>
      <c r="AT16" s="85">
        <f t="shared" si="2"/>
        <v>0.9930567246539469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1.1500000000000012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2.8500000000000005</v>
      </c>
      <c r="J17" s="171">
        <f>SUMIFS(WTG_BD!$T:$T,WTG_BD!$G:$G,Analytics!J$4,WTG_BD!$F:$F,"&gt;="&amp;Analytics!$B$2,WTG_BD!$F:$F,"&lt;="&amp;Analytics!$B$3)</f>
        <v>1.2833333333333341</v>
      </c>
      <c r="K17" s="171">
        <f>SUMIFS(WTG_BD!$T:$T,WTG_BD!$G:$G,Analytics!K$4,WTG_BD!$F:$F,"&gt;="&amp;Analytics!$B$2,WTG_BD!$F:$F,"&lt;="&amp;Analytics!$B$3)</f>
        <v>6.7666666666666639</v>
      </c>
      <c r="L17" s="171">
        <f>SUMIFS(WTG_BD!$T:$T,WTG_BD!$G:$G,Analytics!L$4,WTG_BD!$F:$F,"&gt;="&amp;Analytics!$B$2,WTG_BD!$F:$F,"&lt;="&amp;Analytics!$B$3)</f>
        <v>5.1166666666666618</v>
      </c>
      <c r="M17" s="171">
        <f>SUMIFS(WTG_BD!$T:$T,WTG_BD!$G:$G,Analytics!M$4,WTG_BD!$F:$F,"&gt;="&amp;Analytics!$B$2,WTG_BD!$F:$F,"&lt;="&amp;Analytics!$B$3)</f>
        <v>1.0833333333333348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6.4499999999999984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0.94999999999999929</v>
      </c>
      <c r="W17" s="171">
        <f>SUMIFS(WTG_BD!$T:$T,WTG_BD!$G:$G,Analytics!W$4,WTG_BD!$F:$F,"&gt;="&amp;Analytics!$B$2,WTG_BD!$F:$F,"&lt;="&amp;Analytics!$B$3)</f>
        <v>2.2333333333333307</v>
      </c>
      <c r="X17" s="171">
        <f>SUMIFS(WTG_BD!$T:$T,WTG_BD!$G:$G,Analytics!X$4,WTG_BD!$F:$F,"&gt;="&amp;Analytics!$B$2,WTG_BD!$F:$F,"&lt;="&amp;Analytics!$B$3)</f>
        <v>1.5666666666666664</v>
      </c>
      <c r="Y17" s="171">
        <f>SUMIFS(WTG_BD!$T:$T,WTG_BD!$G:$G,Analytics!Y$4,WTG_BD!$F:$F,"&gt;="&amp;Analytics!$B$2,WTG_BD!$F:$F,"&lt;="&amp;Analytics!$B$3)</f>
        <v>16.716666666666669</v>
      </c>
      <c r="Z17" s="171">
        <f>SUMIFS(WTG_BD!$T:$T,WTG_BD!$G:$G,Analytics!Z$4,WTG_BD!$F:$F,"&gt;="&amp;Analytics!$B$2,WTG_BD!$F:$F,"&lt;="&amp;Analytics!$B$3)</f>
        <v>1.7000000000000046</v>
      </c>
      <c r="AA17" s="171">
        <f>SUMIFS(WTG_BD!$T:$T,WTG_BD!$G:$G,Analytics!AA$4,WTG_BD!$F:$F,"&gt;="&amp;Analytics!$B$2,WTG_BD!$F:$F,"&lt;="&amp;Analytics!$B$3)</f>
        <v>4.9999999999999822E-2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1.4500000000000002</v>
      </c>
      <c r="AE17" s="171">
        <f>SUMIFS(WTG_BD!$T:$T,WTG_BD!$G:$G,Analytics!AE$4,WTG_BD!$F:$F,"&gt;="&amp;Analytics!$B$2,WTG_BD!$F:$F,"&lt;="&amp;Analytics!$B$3)</f>
        <v>1.0666666666666655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6.5</v>
      </c>
      <c r="AI17" s="171">
        <f>SUMIFS(WTG_BD!$T:$T,WTG_BD!$G:$G,Analytics!AI$4,WTG_BD!$F:$F,"&gt;="&amp;Analytics!$B$2,WTG_BD!$F:$F,"&lt;="&amp;Analytics!$B$3)</f>
        <v>0.71666666666666945</v>
      </c>
      <c r="AJ17" s="171">
        <f>SUMIFS(WTG_BD!$T:$T,WTG_BD!$G:$G,Analytics!AJ$4,WTG_BD!$F:$F,"&gt;="&amp;Analytics!$B$2,WTG_BD!$F:$F,"&lt;="&amp;Analytics!$B$3)</f>
        <v>1.783333333333333</v>
      </c>
      <c r="AK17" s="171">
        <f>SUMIFS(WTG_BD!$T:$T,WTG_BD!$G:$G,Analytics!AK$4,WTG_BD!$F:$F,"&gt;="&amp;Analytics!$B$2,WTG_BD!$F:$F,"&lt;="&amp;Analytics!$B$3)</f>
        <v>1.6833333333333353</v>
      </c>
      <c r="AL17" s="171">
        <f>SUMIFS(WTG_BD!$T:$T,WTG_BD!$G:$G,Analytics!AL$4,WTG_BD!$F:$F,"&gt;="&amp;Analytics!$B$2,WTG_BD!$F:$F,"&lt;="&amp;Analytics!$B$3)</f>
        <v>8.3333333333333037E-2</v>
      </c>
      <c r="AM17" s="171">
        <f>SUMIFS(WTG_BD!$T:$T,WTG_BD!$G:$G,Analytics!AM$4,WTG_BD!$F:$F,"&gt;="&amp;Analytics!$B$2,WTG_BD!$F:$F,"&lt;="&amp;Analytics!$B$3)</f>
        <v>1.1666666666666679</v>
      </c>
      <c r="AN17" s="171">
        <f>SUMIFS(WTG_BD!$T:$T,WTG_BD!$G:$G,Analytics!AN$4,WTG_BD!$F:$F,"&gt;="&amp;Analytics!$B$2,WTG_BD!$F:$F,"&lt;="&amp;Analytics!$B$3)</f>
        <v>6.666666666666643E-2</v>
      </c>
      <c r="AO17" s="171">
        <f>SUMIFS(WTG_BD!$T:$T,WTG_BD!$G:$G,Analytics!AO$4,WTG_BD!$F:$F,"&gt;="&amp;Analytics!$B$2,WTG_BD!$F:$F,"&lt;="&amp;Analytics!$B$3)</f>
        <v>1.9500000000000011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3.3499999999999934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1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4</v>
      </c>
      <c r="J18" s="171">
        <f>COUNTIFS(WTG_BD!$G:$G,Analytics!J$4,WTG_BD!$F:$F,"&gt;="&amp;Analytics!$B$2,WTG_BD!$F:$F,"&lt;="&amp;Analytics!$B$3)</f>
        <v>2</v>
      </c>
      <c r="K18" s="171">
        <f>COUNTIFS(WTG_BD!$G:$G,Analytics!K$4,WTG_BD!$F:$F,"&gt;="&amp;Analytics!$B$2,WTG_BD!$F:$F,"&lt;="&amp;Analytics!$B$3)</f>
        <v>5</v>
      </c>
      <c r="L18" s="171">
        <f>COUNTIFS(WTG_BD!$G:$G,Analytics!L$4,WTG_BD!$F:$F,"&gt;="&amp;Analytics!$B$2,WTG_BD!$F:$F,"&lt;="&amp;Analytics!$B$3)</f>
        <v>7</v>
      </c>
      <c r="M18" s="171">
        <f>COUNTIFS(WTG_BD!$G:$G,Analytics!M$4,WTG_BD!$F:$F,"&gt;="&amp;Analytics!$B$2,WTG_BD!$F:$F,"&lt;="&amp;Analytics!$B$3)</f>
        <v>2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4</v>
      </c>
      <c r="X18" s="171">
        <f>COUNTIFS(WTG_BD!$G:$G,Analytics!X$4,WTG_BD!$F:$F,"&gt;="&amp;Analytics!$B$2,WTG_BD!$F:$F,"&lt;="&amp;Analytics!$B$3)</f>
        <v>2</v>
      </c>
      <c r="Y18" s="171">
        <f>COUNTIFS(WTG_BD!$G:$G,Analytics!Y$4,WTG_BD!$F:$F,"&gt;="&amp;Analytics!$B$2,WTG_BD!$F:$F,"&lt;="&amp;Analytics!$B$3)</f>
        <v>7</v>
      </c>
      <c r="Z18" s="171">
        <f>COUNTIFS(WTG_BD!$G:$G,Analytics!Z$4,WTG_BD!$F:$F,"&gt;="&amp;Analytics!$B$2,WTG_BD!$F:$F,"&lt;="&amp;Analytics!$B$3)</f>
        <v>3</v>
      </c>
      <c r="AA18" s="171">
        <f>COUNTIFS(WTG_BD!$G:$G,Analytics!AA$4,WTG_BD!$F:$F,"&gt;="&amp;Analytics!$B$2,WTG_BD!$F:$F,"&lt;="&amp;Analytics!$B$3)</f>
        <v>1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2</v>
      </c>
      <c r="AE18" s="171">
        <f>COUNTIFS(WTG_BD!$G:$G,Analytics!AE$4,WTG_BD!$F:$F,"&gt;="&amp;Analytics!$B$2,WTG_BD!$F:$F,"&lt;="&amp;Analytics!$B$3)</f>
        <v>2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5</v>
      </c>
      <c r="AI18" s="171">
        <f>COUNTIFS(WTG_BD!$G:$G,Analytics!AI$4,WTG_BD!$F:$F,"&gt;="&amp;Analytics!$B$2,WTG_BD!$F:$F,"&lt;="&amp;Analytics!$B$3)</f>
        <v>3</v>
      </c>
      <c r="AJ18" s="171">
        <f>COUNTIFS(WTG_BD!$G:$G,Analytics!AJ$4,WTG_BD!$F:$F,"&gt;="&amp;Analytics!$B$2,WTG_BD!$F:$F,"&lt;="&amp;Analytics!$B$3)</f>
        <v>2</v>
      </c>
      <c r="AK18" s="171">
        <f>COUNTIFS(WTG_BD!$G:$G,Analytics!AK$4,WTG_BD!$F:$F,"&gt;="&amp;Analytics!$B$2,WTG_BD!$F:$F,"&lt;="&amp;Analytics!$B$3)</f>
        <v>2</v>
      </c>
      <c r="AL18" s="171">
        <f>COUNTIFS(WTG_BD!$G:$G,Analytics!AL$4,WTG_BD!$F:$F,"&gt;="&amp;Analytics!$B$2,WTG_BD!$F:$F,"&lt;="&amp;Analytics!$B$3)</f>
        <v>1</v>
      </c>
      <c r="AM18" s="171">
        <f>COUNTIFS(WTG_BD!$G:$G,Analytics!AM$4,WTG_BD!$F:$F,"&gt;="&amp;Analytics!$B$2,WTG_BD!$F:$F,"&lt;="&amp;Analytics!$B$3)</f>
        <v>2</v>
      </c>
      <c r="AN18" s="171">
        <f>COUNTIFS(WTG_BD!$G:$G,Analytics!AN$4,WTG_BD!$F:$F,"&gt;="&amp;Analytics!$B$2,WTG_BD!$F:$F,"&lt;="&amp;Analytics!$B$3)</f>
        <v>1</v>
      </c>
      <c r="AO18" s="171">
        <f>COUNTIFS(WTG_BD!$G:$G,Analytics!AO$4,WTG_BD!$F:$F,"&gt;="&amp;Analytics!$B$2,WTG_BD!$F:$F,"&lt;="&amp;Analytics!$B$3)</f>
        <v>2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1.1500000000000012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0.71250000000000013</v>
      </c>
      <c r="J19" s="171">
        <f t="shared" si="35"/>
        <v>0.64166666666666705</v>
      </c>
      <c r="K19" s="171">
        <f t="shared" si="35"/>
        <v>1.3533333333333328</v>
      </c>
      <c r="L19" s="171">
        <f t="shared" si="35"/>
        <v>0.73095238095238024</v>
      </c>
      <c r="M19" s="171">
        <f t="shared" si="35"/>
        <v>0.54166666666666741</v>
      </c>
      <c r="N19" s="171">
        <f t="shared" si="35"/>
        <v>1.6611111111111108</v>
      </c>
      <c r="O19" s="171">
        <f t="shared" si="35"/>
        <v>0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2.1499999999999995</v>
      </c>
      <c r="U19" s="171">
        <f t="shared" si="35"/>
        <v>1.133333333333336</v>
      </c>
      <c r="V19" s="171">
        <f t="shared" si="35"/>
        <v>0.47499999999999964</v>
      </c>
      <c r="W19" s="171">
        <f t="shared" si="35"/>
        <v>0.55833333333333268</v>
      </c>
      <c r="X19" s="171">
        <f t="shared" si="35"/>
        <v>0.78333333333333321</v>
      </c>
      <c r="Y19" s="171">
        <f>IFERROR(Y17/Y18,0)</f>
        <v>2.3880952380952385</v>
      </c>
      <c r="Z19" s="171">
        <f t="shared" si="35"/>
        <v>0.56666666666666821</v>
      </c>
      <c r="AA19" s="171">
        <f t="shared" si="35"/>
        <v>4.9999999999999822E-2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0.72500000000000009</v>
      </c>
      <c r="AE19" s="171">
        <f t="shared" si="35"/>
        <v>0.53333333333333277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1.3</v>
      </c>
      <c r="AI19" s="171">
        <f t="shared" si="35"/>
        <v>0.23888888888888982</v>
      </c>
      <c r="AJ19" s="171">
        <f t="shared" si="35"/>
        <v>0.8916666666666665</v>
      </c>
      <c r="AK19" s="171">
        <f t="shared" si="35"/>
        <v>0.84166666666666767</v>
      </c>
      <c r="AL19" s="171">
        <f t="shared" si="35"/>
        <v>8.3333333333333037E-2</v>
      </c>
      <c r="AM19" s="171">
        <f t="shared" si="35"/>
        <v>0.58333333333333393</v>
      </c>
      <c r="AN19" s="171">
        <f t="shared" si="35"/>
        <v>6.666666666666643E-2</v>
      </c>
      <c r="AO19" s="171">
        <f t="shared" si="35"/>
        <v>0.97500000000000053</v>
      </c>
      <c r="AP19" s="171">
        <f t="shared" si="35"/>
        <v>0.35833333333333206</v>
      </c>
      <c r="AQ19" s="171">
        <f t="shared" si="35"/>
        <v>0.66999999999999871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1.0685452741702748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646.85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161.28749999999999</v>
      </c>
      <c r="J20" s="171">
        <f t="shared" si="36"/>
        <v>323.35833333333335</v>
      </c>
      <c r="K20" s="171">
        <f t="shared" si="36"/>
        <v>128.24666666666667</v>
      </c>
      <c r="L20" s="171">
        <f t="shared" si="36"/>
        <v>91.840476190476195</v>
      </c>
      <c r="M20" s="171">
        <f t="shared" si="36"/>
        <v>323.45833333333331</v>
      </c>
      <c r="N20" s="171">
        <f t="shared" si="36"/>
        <v>214.33888888888887</v>
      </c>
      <c r="O20" s="171">
        <f t="shared" si="36"/>
        <v>648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213.85</v>
      </c>
      <c r="U20" s="171">
        <f t="shared" si="36"/>
        <v>322.86666666666667</v>
      </c>
      <c r="V20" s="171">
        <f t="shared" si="36"/>
        <v>323.52499999999998</v>
      </c>
      <c r="W20" s="171">
        <f t="shared" si="36"/>
        <v>161.44166666666666</v>
      </c>
      <c r="X20" s="171">
        <f t="shared" si="36"/>
        <v>323.21666666666664</v>
      </c>
      <c r="Y20" s="171">
        <f t="shared" si="36"/>
        <v>90.183333333333323</v>
      </c>
      <c r="Z20" s="171">
        <f t="shared" si="36"/>
        <v>215.43333333333331</v>
      </c>
      <c r="AA20" s="171">
        <f t="shared" si="36"/>
        <v>647.95000000000005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323.27499999999998</v>
      </c>
      <c r="AE20" s="171">
        <f t="shared" si="36"/>
        <v>323.46666666666664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128.30000000000001</v>
      </c>
      <c r="AI20" s="171">
        <f t="shared" si="36"/>
        <v>215.76111111111109</v>
      </c>
      <c r="AJ20" s="171">
        <f t="shared" si="36"/>
        <v>323.10833333333335</v>
      </c>
      <c r="AK20" s="171">
        <f t="shared" si="36"/>
        <v>323.15833333333336</v>
      </c>
      <c r="AL20" s="171">
        <f t="shared" si="36"/>
        <v>647.91666666666663</v>
      </c>
      <c r="AM20" s="171">
        <f t="shared" si="36"/>
        <v>323.41666666666669</v>
      </c>
      <c r="AN20" s="171">
        <f t="shared" si="36"/>
        <v>647.93333333333328</v>
      </c>
      <c r="AO20" s="171">
        <f t="shared" si="36"/>
        <v>323.02499999999998</v>
      </c>
      <c r="AP20" s="171">
        <f t="shared" si="36"/>
        <v>323.64166666666665</v>
      </c>
      <c r="AQ20" s="171">
        <f t="shared" si="36"/>
        <v>128.93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354.38470147907634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9.9657142857142826</v>
      </c>
      <c r="C21" s="171">
        <f>AVERAGEIFS(Input_Raw!AY:AY,Input_Raw!$A:$A,"&gt;="&amp;Analytics!$B$2,Input_Raw!$A:$A,"&lt;="&amp;Analytics!$B$3)</f>
        <v>9.6546428571428571</v>
      </c>
      <c r="D21" s="171">
        <f>AVERAGEIFS(Input_Raw!AZ:AZ,Input_Raw!$A:$A,"&gt;="&amp;Analytics!$B$2,Input_Raw!$A:$A,"&lt;="&amp;Analytics!$B$3)</f>
        <v>9.1621428571428556</v>
      </c>
      <c r="E21" s="171">
        <f>AVERAGEIFS(Input_Raw!BA:BA,Input_Raw!$A:$A,"&gt;="&amp;Analytics!$B$2,Input_Raw!$A:$A,"&lt;="&amp;Analytics!$B$3)</f>
        <v>10.030357142857143</v>
      </c>
      <c r="F21" s="171">
        <f>AVERAGEIFS(Input_Raw!BB:BB,Input_Raw!$A:$A,"&gt;="&amp;Analytics!$B$2,Input_Raw!$A:$A,"&lt;="&amp;Analytics!$B$3)</f>
        <v>9.83357142857143</v>
      </c>
      <c r="G21" s="171">
        <f>AVERAGEIFS(Input_Raw!BC:BC,Input_Raw!$A:$A,"&gt;="&amp;Analytics!$B$2,Input_Raw!$A:$A,"&lt;="&amp;Analytics!$B$3)</f>
        <v>10.105714285714287</v>
      </c>
      <c r="H21" s="171">
        <f>AVERAGEIFS(Input_Raw!BD:BD,Input_Raw!$A:$A,"&gt;="&amp;Analytics!$B$2,Input_Raw!$A:$A,"&lt;="&amp;Analytics!$B$3)</f>
        <v>9.7721428571428568</v>
      </c>
      <c r="I21" s="171">
        <f>AVERAGEIFS(Input_Raw!BE:BE,Input_Raw!$A:$A,"&gt;="&amp;Analytics!$B$2,Input_Raw!$A:$A,"&lt;="&amp;Analytics!$B$3)</f>
        <v>9.1046428571428546</v>
      </c>
      <c r="J21" s="171">
        <f>AVERAGEIFS(Input_Raw!BF:BF,Input_Raw!$A:$A,"&gt;="&amp;Analytics!$B$2,Input_Raw!$A:$A,"&lt;="&amp;Analytics!$B$3)</f>
        <v>8.1971428571428611</v>
      </c>
      <c r="K21" s="171">
        <f>AVERAGEIFS(Input_Raw!BG:BG,Input_Raw!$A:$A,"&gt;="&amp;Analytics!$B$2,Input_Raw!$A:$A,"&lt;="&amp;Analytics!$B$3)</f>
        <v>8.8203571428571426</v>
      </c>
      <c r="L21" s="171">
        <f>AVERAGEIFS(Input_Raw!BH:BH,Input_Raw!$A:$A,"&gt;="&amp;Analytics!$B$2,Input_Raw!$A:$A,"&lt;="&amp;Analytics!$B$3)</f>
        <v>9.4960714285714314</v>
      </c>
      <c r="M21" s="171">
        <f>AVERAGEIFS(Input_Raw!BI:BI,Input_Raw!$A:$A,"&gt;="&amp;Analytics!$B$2,Input_Raw!$A:$A,"&lt;="&amp;Analytics!$B$3)</f>
        <v>10.493928571428567</v>
      </c>
      <c r="N21" s="171">
        <f>AVERAGEIFS(Input_Raw!BJ:BJ,Input_Raw!$A:$A,"&gt;="&amp;Analytics!$B$2,Input_Raw!$A:$A,"&lt;="&amp;Analytics!$B$3)</f>
        <v>9.921428571428569</v>
      </c>
      <c r="O21" s="171">
        <f>AVERAGEIFS(Input_Raw!BK:BK,Input_Raw!$A:$A,"&gt;="&amp;Analytics!$B$2,Input_Raw!$A:$A,"&lt;="&amp;Analytics!$B$3)</f>
        <v>9.204642857142856</v>
      </c>
      <c r="P21" s="171">
        <f>AVERAGEIFS(Input_Raw!BL:BL,Input_Raw!$A:$A,"&gt;="&amp;Analytics!$B$2,Input_Raw!$A:$A,"&lt;="&amp;Analytics!$B$3)</f>
        <v>9.2632142857142856</v>
      </c>
      <c r="Q21" s="171">
        <f>AVERAGEIFS(Input_Raw!BM:BM,Input_Raw!$A:$A,"&gt;="&amp;Analytics!$B$2,Input_Raw!$A:$A,"&lt;="&amp;Analytics!$B$3)</f>
        <v>9.232857142857144</v>
      </c>
      <c r="R21" s="171">
        <f>AVERAGEIFS(Input_Raw!BN:BN,Input_Raw!$A:$A,"&gt;="&amp;Analytics!$B$2,Input_Raw!$A:$A,"&lt;="&amp;Analytics!$B$3)</f>
        <v>9.557500000000001</v>
      </c>
      <c r="S21" s="171">
        <f>AVERAGEIFS(Input_Raw!BO:BO,Input_Raw!$A:$A,"&gt;="&amp;Analytics!$B$2,Input_Raw!$A:$A,"&lt;="&amp;Analytics!$B$3)</f>
        <v>9.2382142857142835</v>
      </c>
      <c r="T21" s="171">
        <f>AVERAGEIFS(Input_Raw!BP:BP,Input_Raw!$A:$A,"&gt;="&amp;Analytics!$B$2,Input_Raw!$A:$A,"&lt;="&amp;Analytics!$B$3)</f>
        <v>8.9178571428571427</v>
      </c>
      <c r="U21" s="171">
        <f>AVERAGEIFS(Input_Raw!BQ:BQ,Input_Raw!$A:$A,"&gt;="&amp;Analytics!$B$2,Input_Raw!$A:$A,"&lt;="&amp;Analytics!$B$3)</f>
        <v>8.0528571428571443</v>
      </c>
      <c r="V21" s="171">
        <f>AVERAGEIFS(Input_Raw!BR:BR,Input_Raw!$A:$A,"&gt;="&amp;Analytics!$B$2,Input_Raw!$A:$A,"&lt;="&amp;Analytics!$B$3)</f>
        <v>9.5549999999999979</v>
      </c>
      <c r="W21" s="171">
        <f>AVERAGEIFS(Input_Raw!BS:BS,Input_Raw!$A:$A,"&gt;="&amp;Analytics!$B$2,Input_Raw!$A:$A,"&lt;="&amp;Analytics!$B$3)</f>
        <v>8.9346428571428564</v>
      </c>
      <c r="X21" s="171">
        <f>AVERAGEIFS(Input_Raw!BT:BT,Input_Raw!$A:$A,"&gt;="&amp;Analytics!$B$2,Input_Raw!$A:$A,"&lt;="&amp;Analytics!$B$3)</f>
        <v>8.6032142857142855</v>
      </c>
      <c r="Y21" s="171">
        <f>AVERAGEIFS(Input_Raw!BU:BU,Input_Raw!$A:$A,"&gt;="&amp;Analytics!$B$2,Input_Raw!$A:$A,"&lt;="&amp;Analytics!$B$3)</f>
        <v>9.7510714285714251</v>
      </c>
      <c r="Z21" s="171">
        <f>AVERAGEIFS(Input_Raw!BV:BV,Input_Raw!$A:$A,"&gt;="&amp;Analytics!$B$2,Input_Raw!$A:$A,"&lt;="&amp;Analytics!$B$3)</f>
        <v>9.7464285714285719</v>
      </c>
      <c r="AA21" s="171">
        <f>AVERAGEIFS(Input_Raw!BW:BW,Input_Raw!$A:$A,"&gt;="&amp;Analytics!$B$2,Input_Raw!$A:$A,"&lt;="&amp;Analytics!$B$3)</f>
        <v>9.293571428571429</v>
      </c>
      <c r="AB21" s="171">
        <f>AVERAGEIFS(Input_Raw!BX:BX,Input_Raw!$A:$A,"&gt;="&amp;Analytics!$B$2,Input_Raw!$A:$A,"&lt;="&amp;Analytics!$B$3)</f>
        <v>8.2571428571428562</v>
      </c>
      <c r="AC21" s="171">
        <f>AVERAGEIFS(Input_Raw!BY:BY,Input_Raw!$A:$A,"&gt;="&amp;Analytics!$B$2,Input_Raw!$A:$A,"&lt;="&amp;Analytics!$B$3)</f>
        <v>8.6142857142857121</v>
      </c>
      <c r="AD21" s="171">
        <f>AVERAGEIFS(Input_Raw!BZ:BZ,Input_Raw!$A:$A,"&gt;="&amp;Analytics!$B$2,Input_Raw!$A:$A,"&lt;="&amp;Analytics!$B$3)</f>
        <v>9.8349999999999991</v>
      </c>
      <c r="AE21" s="171">
        <f>AVERAGEIFS(Input_Raw!CA:CA,Input_Raw!$A:$A,"&gt;="&amp;Analytics!$B$2,Input_Raw!$A:$A,"&lt;="&amp;Analytics!$B$3)</f>
        <v>9.2414285714285693</v>
      </c>
      <c r="AF21" s="171">
        <f>AVERAGEIFS(Input_Raw!CB:CB,Input_Raw!$A:$A,"&gt;="&amp;Analytics!$B$2,Input_Raw!$A:$A,"&lt;="&amp;Analytics!$B$3)</f>
        <v>9.1482142857142872</v>
      </c>
      <c r="AG21" s="171">
        <f>AVERAGEIFS(Input_Raw!CC:CC,Input_Raw!$A:$A,"&gt;="&amp;Analytics!$B$2,Input_Raw!$A:$A,"&lt;="&amp;Analytics!$B$3)</f>
        <v>8.6796428571428574</v>
      </c>
      <c r="AH21" s="171">
        <f>AVERAGEIFS(Input_Raw!CD:CD,Input_Raw!$A:$A,"&gt;="&amp;Analytics!$B$2,Input_Raw!$A:$A,"&lt;="&amp;Analytics!$B$3)</f>
        <v>10.080714285714285</v>
      </c>
      <c r="AI21" s="171">
        <f>AVERAGEIFS(Input_Raw!CE:CE,Input_Raw!$A:$A,"&gt;="&amp;Analytics!$B$2,Input_Raw!$A:$A,"&lt;="&amp;Analytics!$B$3)</f>
        <v>9.9749999999999996</v>
      </c>
      <c r="AJ21" s="171">
        <f>AVERAGEIFS(Input_Raw!CF:CF,Input_Raw!$A:$A,"&gt;="&amp;Analytics!$B$2,Input_Raw!$A:$A,"&lt;="&amp;Analytics!$B$3)</f>
        <v>8.3325000000000014</v>
      </c>
      <c r="AK21" s="171">
        <f>AVERAGEIFS(Input_Raw!CG:CG,Input_Raw!$A:$A,"&gt;="&amp;Analytics!$B$2,Input_Raw!$A:$A,"&lt;="&amp;Analytics!$B$3)</f>
        <v>11.749999999999998</v>
      </c>
      <c r="AL21" s="171">
        <f>AVERAGEIFS(Input_Raw!CH:CH,Input_Raw!$A:$A,"&gt;="&amp;Analytics!$B$2,Input_Raw!$A:$A,"&lt;="&amp;Analytics!$B$3)</f>
        <v>10.91464285714286</v>
      </c>
      <c r="AM21" s="171">
        <f>AVERAGEIFS(Input_Raw!CI:CI,Input_Raw!$A:$A,"&gt;="&amp;Analytics!$B$2,Input_Raw!$A:$A,"&lt;="&amp;Analytics!$B$3)</f>
        <v>9.85</v>
      </c>
      <c r="AN21" s="171">
        <f>AVERAGEIFS(Input_Raw!CJ:CJ,Input_Raw!$A:$A,"&gt;="&amp;Analytics!$B$2,Input_Raw!$A:$A,"&lt;="&amp;Analytics!$B$3)</f>
        <v>10.508571428571429</v>
      </c>
      <c r="AO21" s="171">
        <f>AVERAGEIFS(Input_Raw!CK:CK,Input_Raw!$A:$A,"&gt;="&amp;Analytics!$B$2,Input_Raw!$A:$A,"&lt;="&amp;Analytics!$B$3)</f>
        <v>9.1910714285714317</v>
      </c>
      <c r="AP21" s="171">
        <f>AVERAGEIFS(Input_Raw!CL:CL,Input_Raw!$A:$A,"&gt;="&amp;Analytics!$B$2,Input_Raw!$A:$A,"&lt;="&amp;Analytics!$B$3)</f>
        <v>9.9571428571428573</v>
      </c>
      <c r="AQ21" s="171">
        <f>AVERAGEIFS(Input_Raw!CM:CM,Input_Raw!$A:$A,"&gt;="&amp;Analytics!$B$2,Input_Raw!$A:$A,"&lt;="&amp;Analytics!$B$3)</f>
        <v>9.807500000000001</v>
      </c>
      <c r="AR21" s="171">
        <f>AVERAGEIFS(Input_Raw!CN:CN,Input_Raw!$A:$A,"&gt;="&amp;Analytics!$B$2,Input_Raw!$A:$A,"&lt;="&amp;Analytics!$B$3)</f>
        <v>11.346785714285714</v>
      </c>
      <c r="AS21" s="171">
        <f>AVERAGEIFS(Input_Raw!CO:CO,Input_Raw!$A:$A,"&gt;="&amp;Analytics!$B$2,Input_Raw!$A:$A,"&lt;="&amp;Analytics!$B$3)</f>
        <v>10.269285714285715</v>
      </c>
      <c r="AT21" s="86">
        <f t="shared" si="2"/>
        <v>9.537905844155846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 t="str">
        <f>IFERROR(_xlfn.XLOOKUP($A118,Input_Raw!$A:$A,Input_Raw!$CQ:$CQ),"")</f>
        <v/>
      </c>
      <c r="N118" s="110" t="str">
        <f>IFERROR(_xlfn.XLOOKUP($A118,Input_Raw!$A:$A,Input_Raw!$CR:$CR),"")</f>
        <v/>
      </c>
      <c r="O118" s="141" t="str">
        <f t="shared" si="10"/>
        <v/>
      </c>
      <c r="P118" s="141" t="str">
        <f>IFERROR(1-SUMIF(WTG_BD!$F:$F,$A118,WTG_BD!$AA:$AA)/($AA118+SUMIF(WTG_BD!$F:$F,$A118,WTG_BD!$AA:$AA)),"")</f>
        <v/>
      </c>
      <c r="Q118" s="141" t="str">
        <f>IFERROR(1-SUMIF(IGA_BD!$F:$F,$A118,IGA_BD!$W:$W)/($AA118+SUMIF(IGA_BD!$F:$F,$A118,IGA_BD!$W:$W)),"")</f>
        <v/>
      </c>
      <c r="R118" s="141" t="str">
        <f>IFERROR(1-SUMIF(Grid_BD!$F:$F,$A118,Grid_BD!$Y:$Y)/($AA118+SUMIF(Grid_BD!$F:$F,$A118,Grid_BD!$Y:$Y)),"")</f>
        <v/>
      </c>
      <c r="S118" s="108"/>
      <c r="T118" s="140"/>
      <c r="U118" s="141"/>
      <c r="V118" s="108"/>
      <c r="W118" s="142" t="str">
        <f t="shared" si="11"/>
        <v/>
      </c>
      <c r="X118" s="108" t="str">
        <f>IFERROR(_xlfn.XLOOKUP($A118,Input_Raw!$A:$A,Input_Raw!$CP:$CP)*1000,"")</f>
        <v/>
      </c>
      <c r="Y118" s="108" t="str">
        <f>IFERROR(_xlfn.XLOOKUP($A118,Input_Raw!$A:$A,Input_Raw!DJ:DJ)*1000,"")</f>
        <v/>
      </c>
      <c r="Z118" s="108" t="str">
        <f>IFERROR(_xlfn.XLOOKUP($A118,Input_Raw!$A:$A,Input_Raw!DK:DK)*1000,"")</f>
        <v/>
      </c>
      <c r="AA118" s="138" t="str">
        <f t="shared" si="12"/>
        <v/>
      </c>
      <c r="AB118" s="108" t="str">
        <f>IFERROR(_xlfn.XLOOKUP($A118,Input_Raw!$A:$A,Input_Raw!$DR:$DR),"")</f>
        <v/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 t="str">
        <f>IFERROR(_xlfn.XLOOKUP($A118,Input_Raw!$A:$A,Input_Raw!$DP:$DP),"")</f>
        <v/>
      </c>
      <c r="AJ118" s="108"/>
      <c r="AK118" s="108"/>
      <c r="AL118" s="108"/>
      <c r="AM118" s="108"/>
      <c r="AN118" s="132" t="str">
        <f>IFERROR(_xlfn.XLOOKUP($A118,Input_Raw!$A:$A,Input_Raw!$DL:$DL),"")</f>
        <v/>
      </c>
      <c r="AO118" s="142" t="str">
        <f>IFERROR((_xlfn.XLOOKUP($A118,'WTG Reactive Power'!$A:$A,'WTG Reactive Power'!$AW:$AW))/X118,"")</f>
        <v/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 t="str">
        <f>IFERROR(_xlfn.XLOOKUP($A119,Input_Raw!$A:$A,Input_Raw!$CQ:$CQ),"")</f>
        <v/>
      </c>
      <c r="N119" s="110" t="str">
        <f>IFERROR(_xlfn.XLOOKUP($A119,Input_Raw!$A:$A,Input_Raw!$CR:$CR),"")</f>
        <v/>
      </c>
      <c r="O119" s="141" t="str">
        <f t="shared" si="10"/>
        <v/>
      </c>
      <c r="P119" s="141" t="str">
        <f>IFERROR(1-SUMIF(WTG_BD!$F:$F,$A119,WTG_BD!$AA:$AA)/($AA119+SUMIF(WTG_BD!$F:$F,$A119,WTG_BD!$AA:$AA)),"")</f>
        <v/>
      </c>
      <c r="Q119" s="141" t="str">
        <f>IFERROR(1-SUMIF(IGA_BD!$F:$F,$A119,IGA_BD!$W:$W)/($AA119+SUMIF(IGA_BD!$F:$F,$A119,IGA_BD!$W:$W)),"")</f>
        <v/>
      </c>
      <c r="R119" s="141" t="str">
        <f>IFERROR(1-SUMIF(Grid_BD!$F:$F,$A119,Grid_BD!$Y:$Y)/($AA119+SUMIF(Grid_BD!$F:$F,$A119,Grid_BD!$Y:$Y)),"")</f>
        <v/>
      </c>
      <c r="S119" s="108"/>
      <c r="T119" s="140"/>
      <c r="U119" s="141"/>
      <c r="V119" s="108"/>
      <c r="W119" s="142" t="str">
        <f t="shared" si="11"/>
        <v/>
      </c>
      <c r="X119" s="108" t="str">
        <f>IFERROR(_xlfn.XLOOKUP($A119,Input_Raw!$A:$A,Input_Raw!$CP:$CP)*1000,"")</f>
        <v/>
      </c>
      <c r="Y119" s="108" t="str">
        <f>IFERROR(_xlfn.XLOOKUP($A119,Input_Raw!$A:$A,Input_Raw!DJ:DJ)*1000,"")</f>
        <v/>
      </c>
      <c r="Z119" s="108" t="str">
        <f>IFERROR(_xlfn.XLOOKUP($A119,Input_Raw!$A:$A,Input_Raw!DK:DK)*1000,"")</f>
        <v/>
      </c>
      <c r="AA119" s="138" t="str">
        <f t="shared" si="12"/>
        <v/>
      </c>
      <c r="AB119" s="108" t="str">
        <f>IFERROR(_xlfn.XLOOKUP($A119,Input_Raw!$A:$A,Input_Raw!$DR:$DR),"")</f>
        <v/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 t="str">
        <f>IFERROR(_xlfn.XLOOKUP($A119,Input_Raw!$A:$A,Input_Raw!$DP:$DP),"")</f>
        <v/>
      </c>
      <c r="AJ119" s="108"/>
      <c r="AK119" s="108"/>
      <c r="AL119" s="108"/>
      <c r="AM119" s="108"/>
      <c r="AN119" s="132" t="str">
        <f>IFERROR(_xlfn.XLOOKUP($A119,Input_Raw!$A:$A,Input_Raw!$DL:$DL),"")</f>
        <v/>
      </c>
      <c r="AO119" s="142" t="str">
        <f>IFERROR((_xlfn.XLOOKUP($A119,'WTG Reactive Power'!$A:$A,'WTG Reactive Power'!$AW:$AW))/X119,"")</f>
        <v/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 t="str">
        <f>IFERROR(_xlfn.XLOOKUP($A120,Input_Raw!$A:$A,Input_Raw!$CQ:$CQ),"")</f>
        <v/>
      </c>
      <c r="N120" s="110" t="str">
        <f>IFERROR(_xlfn.XLOOKUP($A120,Input_Raw!$A:$A,Input_Raw!$CR:$CR),"")</f>
        <v/>
      </c>
      <c r="O120" s="141" t="str">
        <f t="shared" si="10"/>
        <v/>
      </c>
      <c r="P120" s="141" t="str">
        <f>IFERROR(1-SUMIF(WTG_BD!$F:$F,$A120,WTG_BD!$AA:$AA)/($AA120+SUMIF(WTG_BD!$F:$F,$A120,WTG_BD!$AA:$AA)),"")</f>
        <v/>
      </c>
      <c r="Q120" s="141" t="str">
        <f>IFERROR(1-SUMIF(IGA_BD!$F:$F,$A120,IGA_BD!$W:$W)/($AA120+SUMIF(IGA_BD!$F:$F,$A120,IGA_BD!$W:$W)),"")</f>
        <v/>
      </c>
      <c r="R120" s="141" t="str">
        <f>IFERROR(1-SUMIF(Grid_BD!$F:$F,$A120,Grid_BD!$Y:$Y)/($AA120+SUMIF(Grid_BD!$F:$F,$A120,Grid_BD!$Y:$Y)),"")</f>
        <v/>
      </c>
      <c r="S120" s="108"/>
      <c r="T120" s="140"/>
      <c r="U120" s="141"/>
      <c r="V120" s="108"/>
      <c r="W120" s="142" t="str">
        <f t="shared" si="11"/>
        <v/>
      </c>
      <c r="X120" s="108" t="str">
        <f>IFERROR(_xlfn.XLOOKUP($A120,Input_Raw!$A:$A,Input_Raw!$CP:$CP)*1000,"")</f>
        <v/>
      </c>
      <c r="Y120" s="108" t="str">
        <f>IFERROR(_xlfn.XLOOKUP($A120,Input_Raw!$A:$A,Input_Raw!DJ:DJ)*1000,"")</f>
        <v/>
      </c>
      <c r="Z120" s="108" t="str">
        <f>IFERROR(_xlfn.XLOOKUP($A120,Input_Raw!$A:$A,Input_Raw!DK:DK)*1000,"")</f>
        <v/>
      </c>
      <c r="AA120" s="138" t="str">
        <f t="shared" si="12"/>
        <v/>
      </c>
      <c r="AB120" s="108" t="str">
        <f>IFERROR(_xlfn.XLOOKUP($A120,Input_Raw!$A:$A,Input_Raw!$DR:$DR),"")</f>
        <v/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 t="str">
        <f>IFERROR(_xlfn.XLOOKUP($A120,Input_Raw!$A:$A,Input_Raw!$DP:$DP),"")</f>
        <v/>
      </c>
      <c r="AJ120" s="108"/>
      <c r="AK120" s="108"/>
      <c r="AL120" s="108"/>
      <c r="AM120" s="108"/>
      <c r="AN120" s="132" t="str">
        <f>IFERROR(_xlfn.XLOOKUP($A120,Input_Raw!$A:$A,Input_Raw!$DL:$DL),"")</f>
        <v/>
      </c>
      <c r="AO120" s="142" t="str">
        <f>IFERROR((_xlfn.XLOOKUP($A120,'WTG Reactive Power'!$A:$A,'WTG Reactive Power'!$AW:$AW))/X120,"")</f>
        <v/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6"/>
  <sheetViews>
    <sheetView showGridLines="0" zoomScaleNormal="100" workbookViewId="0">
      <pane xSplit="1" ySplit="4" topLeftCell="B108" activePane="bottomRight" state="frozen"/>
      <selection pane="topRight" activeCell="B1" sqref="B1"/>
      <selection pane="bottomLeft" activeCell="A5" sqref="A5"/>
      <selection pane="bottomRight" activeCell="G127" sqref="G127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0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F121" s="199"/>
      <c r="G121" s="199"/>
      <c r="H121" s="199"/>
      <c r="I121" s="199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  <c r="AB121" s="199"/>
      <c r="AC121" s="199"/>
      <c r="AD121" s="199"/>
      <c r="AE121" s="199"/>
      <c r="AF121" s="199"/>
      <c r="AG121" s="199"/>
      <c r="AH121" s="199"/>
      <c r="AI121" s="199"/>
      <c r="AJ121" s="199"/>
      <c r="AK121" s="199"/>
      <c r="AL121" s="199"/>
      <c r="AM121" s="199"/>
      <c r="AN121" s="199"/>
      <c r="AO121" s="199"/>
      <c r="AP121" s="199"/>
      <c r="AQ121" s="199"/>
      <c r="AR121" s="199"/>
      <c r="AS121" s="199"/>
      <c r="AT121" s="199"/>
      <c r="AU121" s="199"/>
      <c r="AV121" s="199"/>
      <c r="AW121" s="199"/>
      <c r="AX121" s="199"/>
      <c r="AY121" s="199"/>
      <c r="AZ121" s="199"/>
    </row>
    <row r="122" spans="1:122">
      <c r="F122" s="199"/>
      <c r="G122" s="199"/>
      <c r="H122" s="199"/>
      <c r="I122" s="199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  <c r="AB122" s="199"/>
      <c r="AC122" s="199"/>
      <c r="AD122" s="199"/>
      <c r="AE122" s="199"/>
      <c r="AF122" s="199"/>
      <c r="AG122" s="199"/>
      <c r="AH122" s="199"/>
      <c r="AI122" s="199"/>
      <c r="AJ122" s="199"/>
      <c r="AK122" s="199"/>
      <c r="AL122" s="199"/>
      <c r="AM122" s="199"/>
      <c r="AN122" s="199"/>
      <c r="AO122" s="199"/>
      <c r="AP122" s="199"/>
      <c r="AQ122" s="199"/>
      <c r="AR122" s="199"/>
      <c r="AS122" s="199"/>
      <c r="AT122" s="199"/>
      <c r="AU122" s="199"/>
      <c r="AV122" s="199"/>
      <c r="AW122" s="199"/>
      <c r="AX122" s="199"/>
      <c r="AY122" s="199"/>
      <c r="AZ122" s="199"/>
    </row>
    <row r="123" spans="1:122"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211"/>
      <c r="AL123" s="211"/>
      <c r="AM123" s="211"/>
      <c r="AN123" s="211"/>
      <c r="AO123" s="211"/>
      <c r="AP123" s="211"/>
      <c r="AQ123" s="211"/>
      <c r="AR123" s="211"/>
      <c r="AS123" s="211"/>
      <c r="AT123" s="211"/>
      <c r="AU123" s="211"/>
      <c r="AV123" s="211"/>
      <c r="AW123" s="211"/>
      <c r="AX123" s="211"/>
    </row>
    <row r="124" spans="1:122"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211"/>
      <c r="AL124" s="211"/>
      <c r="AM124" s="211"/>
      <c r="AN124" s="211"/>
      <c r="AO124" s="211"/>
      <c r="AP124" s="211"/>
      <c r="AQ124" s="211"/>
      <c r="AR124" s="211"/>
      <c r="AS124" s="211"/>
      <c r="AT124" s="211"/>
      <c r="AU124" s="211"/>
      <c r="AV124" s="211"/>
      <c r="AW124" s="211"/>
      <c r="AX124" s="211"/>
    </row>
    <row r="125" spans="1:122"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211"/>
      <c r="AL125" s="211"/>
      <c r="AM125" s="211"/>
      <c r="AN125" s="211"/>
      <c r="AO125" s="211"/>
      <c r="AP125" s="211"/>
      <c r="AQ125" s="211"/>
      <c r="AR125" s="211"/>
      <c r="AS125" s="211"/>
      <c r="AT125" s="211"/>
      <c r="AU125" s="211"/>
      <c r="AV125" s="211"/>
      <c r="AW125" s="211"/>
      <c r="AX125" s="211"/>
    </row>
    <row r="126" spans="1:122"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211"/>
      <c r="AL126" s="211"/>
      <c r="AM126" s="211"/>
      <c r="AN126" s="211"/>
      <c r="AO126" s="211"/>
      <c r="AP126" s="211"/>
      <c r="AQ126" s="211"/>
      <c r="AR126" s="211"/>
      <c r="AS126" s="211"/>
      <c r="AT126" s="211"/>
      <c r="AU126" s="211"/>
      <c r="AV126" s="211"/>
      <c r="AW126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85"/>
  <sheetViews>
    <sheetView workbookViewId="0">
      <pane xSplit="6" ySplit="1" topLeftCell="G353" activePane="bottomRight" state="frozen"/>
      <selection pane="topRight" activeCell="G1" sqref="G1"/>
      <selection pane="bottomLeft" activeCell="A2" sqref="A2"/>
      <selection pane="bottomRight" activeCell="L375" sqref="L375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66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9" spans="15:18">
      <c r="O369"/>
      <c r="R369"/>
    </row>
    <row r="370" spans="15:18">
      <c r="O370"/>
      <c r="R370"/>
    </row>
    <row r="371" spans="15:18">
      <c r="O371"/>
      <c r="R371"/>
    </row>
    <row r="372" spans="15:18">
      <c r="O372"/>
      <c r="R372"/>
    </row>
    <row r="373" spans="15:18">
      <c r="O373"/>
      <c r="R373"/>
    </row>
    <row r="374" spans="15:18">
      <c r="O374"/>
      <c r="R374"/>
    </row>
    <row r="375" spans="15:18">
      <c r="O375"/>
      <c r="R375"/>
    </row>
    <row r="376" spans="15:18">
      <c r="O376"/>
      <c r="R376"/>
    </row>
    <row r="377" spans="15:18">
      <c r="O377"/>
      <c r="R377"/>
    </row>
    <row r="378" spans="15:18">
      <c r="O378"/>
      <c r="R378"/>
    </row>
    <row r="379" spans="15:18">
      <c r="O379"/>
      <c r="R379"/>
    </row>
    <row r="380" spans="15:18">
      <c r="O380"/>
      <c r="R380"/>
    </row>
    <row r="381" spans="15:18">
      <c r="O381"/>
      <c r="R381"/>
    </row>
    <row r="382" spans="15:18">
      <c r="O382"/>
      <c r="R382"/>
    </row>
    <row r="383" spans="15:18">
      <c r="O383"/>
      <c r="R383"/>
    </row>
    <row r="384" spans="15:18">
      <c r="O384"/>
      <c r="R384"/>
    </row>
    <row r="385" spans="15:18">
      <c r="O385"/>
      <c r="R385"/>
    </row>
  </sheetData>
  <conditionalFormatting sqref="L1:L328 L330 L332:L366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N386:N1048576 N2:N368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X367:X1048576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X352:X366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16"/>
  <sheetViews>
    <sheetView workbookViewId="0">
      <pane xSplit="6" ySplit="1" topLeftCell="G1101" activePane="bottomRight" state="frozen"/>
      <selection pane="topRight" activeCell="G1" sqref="G1"/>
      <selection pane="bottomLeft" activeCell="A2" sqref="A2"/>
      <selection pane="bottomRight" activeCell="I1125" sqref="I1125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16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7" sqref="K27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L132" sqref="L132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AW119" s="108">
        <f t="shared" si="7"/>
        <v>0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AW120" s="108">
        <f t="shared" si="7"/>
        <v>0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AW121" s="108">
        <f t="shared" si="7"/>
        <v>0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22</v>
      </c>
      <c r="R41" s="128"/>
      <c r="S41" s="128"/>
      <c r="T41" s="120">
        <f t="shared" si="0"/>
        <v>904.89400217495643</v>
      </c>
      <c r="U41" s="128">
        <f t="shared" si="1"/>
        <v>19907.668047849042</v>
      </c>
      <c r="V41" s="128">
        <f>SUMIF($F$2:F41,F41,$U$2:U41)</f>
        <v>53192.620365566443</v>
      </c>
      <c r="W41" s="118">
        <f t="shared" si="18"/>
        <v>0.53556699939332175</v>
      </c>
      <c r="X41" s="118">
        <f t="shared" si="3"/>
        <v>0.53556699939332164</v>
      </c>
      <c r="Y41" s="118">
        <f t="shared" si="4"/>
        <v>0.27860508622015806</v>
      </c>
      <c r="Z41" s="120">
        <f t="shared" si="19"/>
        <v>49.961290322580645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53192.620365566443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0.27860508622015806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53192.620365566443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0.27860508622015806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53192.620365566443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0.27860508622015806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53192.620365566443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0.27860508622015806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53192.620365566443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0.27860508622015806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53192.620365566443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0.27860508622015806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53192.620365566443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0.27860508622015806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53192.620365566443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0.27860508622015806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0AEE22-45FE-4F03-81D3-47782115A905}">
  <ds:schemaRefs>
    <ds:schemaRef ds:uri="http://www.w3.org/XML/1998/namespace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d16c97b0-8c68-4a48-9e8f-dd7460dbc509"/>
    <ds:schemaRef ds:uri="fc7a6a76-1c0e-42c8-b8bb-e7dae130d739"/>
  </ds:schemaRefs>
</ds:datastoreItem>
</file>

<file path=customXml/itemProps2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2025-07-23T03:41:13Z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