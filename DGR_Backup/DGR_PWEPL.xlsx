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vijay_patil_o2power_in/Documents/DGR-PWEPL/July 2025/"/>
    </mc:Choice>
  </mc:AlternateContent>
  <xr:revisionPtr revIDLastSave="0" documentId="8_{8A6A2094-6628-44B5-9166-7D0F0B055B69}" xr6:coauthVersionLast="47" xr6:coauthVersionMax="47" xr10:uidLastSave="{00000000-0000-0000-0000-000000000000}"/>
  <bookViews>
    <workbookView xWindow="-110" yWindow="-110" windowWidth="19420" windowHeight="10300" tabRatio="826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8" i="18" l="1"/>
  <c r="J399" i="18"/>
  <c r="J400" i="18"/>
  <c r="J401" i="18"/>
  <c r="CP126" i="1"/>
  <c r="CQ126" i="1"/>
  <c r="CR126" i="1"/>
  <c r="CT126" i="1"/>
  <c r="CV126" i="1"/>
  <c r="DD126" i="1" s="1"/>
  <c r="CX126" i="1"/>
  <c r="DF126" i="1" s="1"/>
  <c r="CZ126" i="1"/>
  <c r="DH126" i="1" s="1"/>
  <c r="DB126" i="1"/>
  <c r="DK126" i="1"/>
  <c r="B1196" i="19"/>
  <c r="B1197" i="19"/>
  <c r="C1196" i="19"/>
  <c r="C1197" i="19"/>
  <c r="E1196" i="19"/>
  <c r="E1197" i="19"/>
  <c r="O1196" i="19"/>
  <c r="O1197" i="19"/>
  <c r="P1196" i="19"/>
  <c r="P1197" i="19"/>
  <c r="Q1196" i="19"/>
  <c r="Q1197" i="19"/>
  <c r="I1197" i="19"/>
  <c r="H1197" i="19"/>
  <c r="I1196" i="19"/>
  <c r="H1196" i="19"/>
  <c r="DJ126" i="1" l="1"/>
  <c r="DL126" i="1" s="1"/>
  <c r="B398" i="18" l="1"/>
  <c r="B399" i="18"/>
  <c r="B400" i="18"/>
  <c r="B401" i="18"/>
  <c r="C398" i="18"/>
  <c r="C399" i="18"/>
  <c r="C400" i="18"/>
  <c r="C401" i="18"/>
  <c r="E398" i="18"/>
  <c r="E399" i="18"/>
  <c r="E400" i="18"/>
  <c r="E401" i="18"/>
  <c r="R398" i="18"/>
  <c r="R399" i="18"/>
  <c r="R400" i="18"/>
  <c r="R401" i="18"/>
  <c r="S398" i="18"/>
  <c r="S399" i="18"/>
  <c r="S400" i="18"/>
  <c r="S401" i="18"/>
  <c r="T398" i="18"/>
  <c r="T399" i="18"/>
  <c r="T400" i="18"/>
  <c r="T401" i="18"/>
  <c r="H398" i="18"/>
  <c r="H399" i="18"/>
  <c r="H400" i="18"/>
  <c r="I400" i="18"/>
  <c r="L400" i="18"/>
  <c r="H401" i="18"/>
  <c r="I401" i="18"/>
  <c r="L401" i="18"/>
  <c r="I398" i="18"/>
  <c r="L398" i="18"/>
  <c r="I399" i="18"/>
  <c r="L399" i="18"/>
  <c r="CP125" i="1" l="1"/>
  <c r="CQ125" i="1"/>
  <c r="CR125" i="1"/>
  <c r="CT125" i="1"/>
  <c r="DB125" i="1" s="1"/>
  <c r="CV125" i="1"/>
  <c r="DD125" i="1" s="1"/>
  <c r="CX125" i="1"/>
  <c r="DF125" i="1" s="1"/>
  <c r="CZ125" i="1"/>
  <c r="DH125" i="1" s="1"/>
  <c r="DK125" i="1"/>
  <c r="B393" i="18"/>
  <c r="B394" i="18"/>
  <c r="B395" i="18"/>
  <c r="B396" i="18"/>
  <c r="B397" i="18"/>
  <c r="C393" i="18"/>
  <c r="C394" i="18"/>
  <c r="C395" i="18"/>
  <c r="C396" i="18"/>
  <c r="C397" i="18"/>
  <c r="E393" i="18"/>
  <c r="E394" i="18"/>
  <c r="E395" i="18"/>
  <c r="E396" i="18"/>
  <c r="E397" i="18"/>
  <c r="R393" i="18"/>
  <c r="R394" i="18"/>
  <c r="R395" i="18"/>
  <c r="R396" i="18"/>
  <c r="R397" i="18"/>
  <c r="S393" i="18"/>
  <c r="S394" i="18"/>
  <c r="S395" i="18"/>
  <c r="S396" i="18"/>
  <c r="S397" i="18"/>
  <c r="T393" i="18"/>
  <c r="T394" i="18"/>
  <c r="T395" i="18"/>
  <c r="T396" i="18"/>
  <c r="T397" i="18"/>
  <c r="I393" i="18"/>
  <c r="I395" i="18"/>
  <c r="L393" i="18"/>
  <c r="H393" i="18"/>
  <c r="I397" i="18"/>
  <c r="I394" i="18"/>
  <c r="H396" i="18"/>
  <c r="L397" i="18"/>
  <c r="H397" i="18"/>
  <c r="L394" i="18"/>
  <c r="I396" i="18"/>
  <c r="H394" i="18"/>
  <c r="H395" i="18"/>
  <c r="L395" i="18"/>
  <c r="L396" i="18"/>
  <c r="DJ125" i="1" l="1"/>
  <c r="DL125" i="1" s="1"/>
  <c r="CP124" i="1"/>
  <c r="CQ124" i="1"/>
  <c r="CR124" i="1"/>
  <c r="CT124" i="1"/>
  <c r="DB124" i="1" s="1"/>
  <c r="CV124" i="1"/>
  <c r="DD124" i="1" s="1"/>
  <c r="CX124" i="1"/>
  <c r="DF124" i="1" s="1"/>
  <c r="CZ124" i="1"/>
  <c r="DH124" i="1" s="1"/>
  <c r="DK124" i="1"/>
  <c r="B1184" i="19"/>
  <c r="B1185" i="19"/>
  <c r="B1186" i="19"/>
  <c r="B1187" i="19"/>
  <c r="B1188" i="19"/>
  <c r="B1189" i="19"/>
  <c r="B1190" i="19"/>
  <c r="B1191" i="19"/>
  <c r="B1192" i="19"/>
  <c r="B1193" i="19"/>
  <c r="B1194" i="19"/>
  <c r="B1195" i="19"/>
  <c r="C1184" i="19"/>
  <c r="C1185" i="19"/>
  <c r="C1186" i="19"/>
  <c r="C1187" i="19"/>
  <c r="C1188" i="19"/>
  <c r="C1189" i="19"/>
  <c r="C1190" i="19"/>
  <c r="C1191" i="19"/>
  <c r="C1192" i="19"/>
  <c r="C1193" i="19"/>
  <c r="C1194" i="19"/>
  <c r="C1195" i="19"/>
  <c r="E1184" i="19"/>
  <c r="E1185" i="19"/>
  <c r="E1186" i="19"/>
  <c r="E1187" i="19"/>
  <c r="E1188" i="19"/>
  <c r="E1189" i="19"/>
  <c r="E1190" i="19"/>
  <c r="E1191" i="19"/>
  <c r="E1192" i="19"/>
  <c r="E1193" i="19"/>
  <c r="E1194" i="19"/>
  <c r="E1195" i="19"/>
  <c r="O1184" i="19"/>
  <c r="O1185" i="19"/>
  <c r="O1186" i="19"/>
  <c r="O1187" i="19"/>
  <c r="O1188" i="19"/>
  <c r="O1189" i="19"/>
  <c r="O1190" i="19"/>
  <c r="O1191" i="19"/>
  <c r="O1192" i="19"/>
  <c r="O1193" i="19"/>
  <c r="O1194" i="19"/>
  <c r="O1195" i="19"/>
  <c r="P1184" i="19"/>
  <c r="P1185" i="19"/>
  <c r="P1186" i="19"/>
  <c r="P1187" i="19"/>
  <c r="P1188" i="19"/>
  <c r="P1189" i="19"/>
  <c r="P1190" i="19"/>
  <c r="P1191" i="19"/>
  <c r="P1192" i="19"/>
  <c r="P1193" i="19"/>
  <c r="P1194" i="19"/>
  <c r="P1195" i="19"/>
  <c r="Q1184" i="19"/>
  <c r="Q1185" i="19"/>
  <c r="Q1186" i="19"/>
  <c r="Q1187" i="19"/>
  <c r="Q1188" i="19"/>
  <c r="Q1189" i="19"/>
  <c r="Q1190" i="19"/>
  <c r="Q1191" i="19"/>
  <c r="Q1192" i="19"/>
  <c r="Q1193" i="19"/>
  <c r="Q1194" i="19"/>
  <c r="Q1195" i="19"/>
  <c r="B1158" i="19"/>
  <c r="B1159" i="19"/>
  <c r="B1160" i="19"/>
  <c r="B1161" i="19"/>
  <c r="B1162" i="19"/>
  <c r="B1163" i="19"/>
  <c r="B1164" i="19"/>
  <c r="B1165" i="19"/>
  <c r="B1166" i="19"/>
  <c r="B1167" i="19"/>
  <c r="B1168" i="19"/>
  <c r="B1169" i="19"/>
  <c r="B1170" i="19"/>
  <c r="B1171" i="19"/>
  <c r="B1172" i="19"/>
  <c r="B1173" i="19"/>
  <c r="B1174" i="19"/>
  <c r="B1175" i="19"/>
  <c r="B1176" i="19"/>
  <c r="B1177" i="19"/>
  <c r="B1178" i="19"/>
  <c r="B1179" i="19"/>
  <c r="B1180" i="19"/>
  <c r="B1181" i="19"/>
  <c r="B1182" i="19"/>
  <c r="B1183" i="19"/>
  <c r="C1158" i="19"/>
  <c r="C1159" i="19"/>
  <c r="C1160" i="19"/>
  <c r="C1161" i="19"/>
  <c r="C1162" i="19"/>
  <c r="C1163" i="19"/>
  <c r="C1164" i="19"/>
  <c r="C1165" i="19"/>
  <c r="C1166" i="19"/>
  <c r="C1167" i="19"/>
  <c r="C1168" i="19"/>
  <c r="C1169" i="19"/>
  <c r="C1170" i="19"/>
  <c r="C1171" i="19"/>
  <c r="C1172" i="19"/>
  <c r="C1173" i="19"/>
  <c r="C1174" i="19"/>
  <c r="C1175" i="19"/>
  <c r="C1176" i="19"/>
  <c r="C1177" i="19"/>
  <c r="C1178" i="19"/>
  <c r="C1179" i="19"/>
  <c r="C1180" i="19"/>
  <c r="C1181" i="19"/>
  <c r="C1182" i="19"/>
  <c r="C1183" i="19"/>
  <c r="E1158" i="19"/>
  <c r="E1159" i="19"/>
  <c r="E1160" i="19"/>
  <c r="E1161" i="19"/>
  <c r="E1162" i="19"/>
  <c r="E1163" i="19"/>
  <c r="E1164" i="19"/>
  <c r="E1165" i="19"/>
  <c r="E1166" i="19"/>
  <c r="E1167" i="19"/>
  <c r="E1168" i="19"/>
  <c r="E1169" i="19"/>
  <c r="E1170" i="19"/>
  <c r="E1171" i="19"/>
  <c r="E1172" i="19"/>
  <c r="E1173" i="19"/>
  <c r="E1174" i="19"/>
  <c r="E1175" i="19"/>
  <c r="E1176" i="19"/>
  <c r="E1177" i="19"/>
  <c r="E1178" i="19"/>
  <c r="E1179" i="19"/>
  <c r="E1180" i="19"/>
  <c r="E1181" i="19"/>
  <c r="E1182" i="19"/>
  <c r="E1183" i="19"/>
  <c r="O1158" i="19"/>
  <c r="O1159" i="19"/>
  <c r="O1160" i="19"/>
  <c r="O1161" i="19"/>
  <c r="O1162" i="19"/>
  <c r="O1163" i="19"/>
  <c r="O1164" i="19"/>
  <c r="O1165" i="19"/>
  <c r="O1166" i="19"/>
  <c r="O1167" i="19"/>
  <c r="O1168" i="19"/>
  <c r="O1169" i="19"/>
  <c r="O1170" i="19"/>
  <c r="O1171" i="19"/>
  <c r="O1172" i="19"/>
  <c r="O1173" i="19"/>
  <c r="O1174" i="19"/>
  <c r="O1175" i="19"/>
  <c r="O1176" i="19"/>
  <c r="O1177" i="19"/>
  <c r="O1178" i="19"/>
  <c r="O1179" i="19"/>
  <c r="O1180" i="19"/>
  <c r="O1181" i="19"/>
  <c r="O1182" i="19"/>
  <c r="O1183" i="19"/>
  <c r="P1158" i="19"/>
  <c r="P1159" i="19"/>
  <c r="P1160" i="19"/>
  <c r="P1161" i="19"/>
  <c r="P1162" i="19"/>
  <c r="P1163" i="19"/>
  <c r="P1164" i="19"/>
  <c r="P1165" i="19"/>
  <c r="P1166" i="19"/>
  <c r="P1167" i="19"/>
  <c r="P1168" i="19"/>
  <c r="P1169" i="19"/>
  <c r="P1170" i="19"/>
  <c r="P1171" i="19"/>
  <c r="P1172" i="19"/>
  <c r="P1173" i="19"/>
  <c r="P1174" i="19"/>
  <c r="P1175" i="19"/>
  <c r="P1176" i="19"/>
  <c r="P1177" i="19"/>
  <c r="P1178" i="19"/>
  <c r="P1179" i="19"/>
  <c r="P1180" i="19"/>
  <c r="P1181" i="19"/>
  <c r="P1182" i="19"/>
  <c r="P1183" i="19"/>
  <c r="Q1158" i="19"/>
  <c r="Q1159" i="19"/>
  <c r="Q1160" i="19"/>
  <c r="Q1161" i="19"/>
  <c r="Q1162" i="19"/>
  <c r="Q1163" i="19"/>
  <c r="Q1164" i="19"/>
  <c r="Q1165" i="19"/>
  <c r="Q1166" i="19"/>
  <c r="Q1167" i="19"/>
  <c r="Q1168" i="19"/>
  <c r="Q1169" i="19"/>
  <c r="Q1170" i="19"/>
  <c r="Q1171" i="19"/>
  <c r="Q1172" i="19"/>
  <c r="Q1173" i="19"/>
  <c r="Q1174" i="19"/>
  <c r="Q1175" i="19"/>
  <c r="Q1176" i="19"/>
  <c r="Q1177" i="19"/>
  <c r="Q1178" i="19"/>
  <c r="Q1179" i="19"/>
  <c r="Q1180" i="19"/>
  <c r="Q1181" i="19"/>
  <c r="Q1182" i="19"/>
  <c r="Q1183" i="19"/>
  <c r="I1184" i="19"/>
  <c r="H1195" i="19"/>
  <c r="H1193" i="19"/>
  <c r="H1190" i="19"/>
  <c r="H1191" i="19"/>
  <c r="I1187" i="19"/>
  <c r="H1172" i="19"/>
  <c r="I1162" i="19"/>
  <c r="I1178" i="19"/>
  <c r="H1178" i="19"/>
  <c r="H1159" i="19"/>
  <c r="I1161" i="19"/>
  <c r="H1165" i="19"/>
  <c r="H1181" i="19"/>
  <c r="I1171" i="19"/>
  <c r="H1158" i="19"/>
  <c r="I1164" i="19"/>
  <c r="H1175" i="19"/>
  <c r="I1181" i="19"/>
  <c r="H1192" i="19"/>
  <c r="I1193" i="19"/>
  <c r="H1168" i="19"/>
  <c r="H1170" i="19"/>
  <c r="H1161" i="19"/>
  <c r="I1167" i="19"/>
  <c r="H1167" i="19"/>
  <c r="H1184" i="19"/>
  <c r="I1188" i="19"/>
  <c r="I1195" i="19"/>
  <c r="I1185" i="19"/>
  <c r="H1194" i="19"/>
  <c r="I1191" i="19"/>
  <c r="H1160" i="19"/>
  <c r="H1176" i="19"/>
  <c r="I1166" i="19"/>
  <c r="I1182" i="19"/>
  <c r="I1160" i="19"/>
  <c r="H1163" i="19"/>
  <c r="I1169" i="19"/>
  <c r="H1169" i="19"/>
  <c r="I1159" i="19"/>
  <c r="I1175" i="19"/>
  <c r="H1166" i="19"/>
  <c r="I1172" i="19"/>
  <c r="H1183" i="19"/>
  <c r="I1168" i="19"/>
  <c r="I1177" i="19"/>
  <c r="I1163" i="19"/>
  <c r="H1174" i="19"/>
  <c r="I1180" i="19"/>
  <c r="H1189" i="19"/>
  <c r="H1187" i="19"/>
  <c r="I1158" i="19"/>
  <c r="I1176" i="19"/>
  <c r="H1177" i="19"/>
  <c r="H1182" i="19"/>
  <c r="H1188" i="19"/>
  <c r="I1192" i="19"/>
  <c r="H1185" i="19"/>
  <c r="I1189" i="19"/>
  <c r="I1190" i="19"/>
  <c r="H1186" i="19"/>
  <c r="H1164" i="19"/>
  <c r="H1180" i="19"/>
  <c r="I1170" i="19"/>
  <c r="H1162" i="19"/>
  <c r="H1171" i="19"/>
  <c r="H1173" i="19"/>
  <c r="I1179" i="19"/>
  <c r="I1165" i="19"/>
  <c r="I1186" i="19"/>
  <c r="I1194" i="19"/>
  <c r="I1174" i="19"/>
  <c r="H1179" i="19"/>
  <c r="I1183" i="19"/>
  <c r="I1173" i="19"/>
  <c r="DJ124" i="1" l="1"/>
  <c r="DL124" i="1" s="1"/>
  <c r="B383" i="18" l="1"/>
  <c r="B384" i="18"/>
  <c r="B385" i="18"/>
  <c r="B386" i="18"/>
  <c r="B387" i="18"/>
  <c r="B388" i="18"/>
  <c r="B389" i="18"/>
  <c r="B390" i="18"/>
  <c r="B391" i="18"/>
  <c r="B392" i="18"/>
  <c r="C383" i="18"/>
  <c r="C384" i="18"/>
  <c r="C385" i="18"/>
  <c r="C386" i="18"/>
  <c r="C387" i="18"/>
  <c r="C388" i="18"/>
  <c r="C389" i="18"/>
  <c r="C390" i="18"/>
  <c r="C391" i="18"/>
  <c r="C392" i="18"/>
  <c r="E383" i="18"/>
  <c r="E384" i="18"/>
  <c r="E385" i="18"/>
  <c r="E386" i="18"/>
  <c r="E387" i="18"/>
  <c r="E388" i="18"/>
  <c r="E389" i="18"/>
  <c r="E390" i="18"/>
  <c r="E391" i="18"/>
  <c r="E392" i="18"/>
  <c r="R383" i="18"/>
  <c r="R384" i="18"/>
  <c r="R385" i="18"/>
  <c r="R386" i="18"/>
  <c r="R387" i="18"/>
  <c r="R388" i="18"/>
  <c r="R389" i="18"/>
  <c r="R390" i="18"/>
  <c r="R391" i="18"/>
  <c r="R392" i="18"/>
  <c r="S383" i="18"/>
  <c r="S384" i="18"/>
  <c r="S385" i="18"/>
  <c r="S386" i="18"/>
  <c r="S387" i="18"/>
  <c r="S388" i="18"/>
  <c r="S389" i="18"/>
  <c r="S390" i="18"/>
  <c r="S391" i="18"/>
  <c r="S392" i="18"/>
  <c r="T383" i="18"/>
  <c r="T384" i="18"/>
  <c r="T385" i="18"/>
  <c r="T386" i="18"/>
  <c r="T387" i="18"/>
  <c r="T388" i="18"/>
  <c r="T389" i="18"/>
  <c r="T390" i="18"/>
  <c r="T391" i="18"/>
  <c r="T392" i="18"/>
  <c r="H383" i="18"/>
  <c r="H390" i="18"/>
  <c r="L385" i="18"/>
  <c r="H385" i="18"/>
  <c r="I386" i="18"/>
  <c r="I390" i="18"/>
  <c r="L389" i="18"/>
  <c r="L391" i="18"/>
  <c r="L388" i="18"/>
  <c r="H388" i="18"/>
  <c r="I388" i="18"/>
  <c r="I384" i="18"/>
  <c r="H386" i="18"/>
  <c r="L387" i="18"/>
  <c r="H389" i="18"/>
  <c r="H392" i="18"/>
  <c r="H387" i="18"/>
  <c r="I391" i="18"/>
  <c r="L384" i="18"/>
  <c r="I385" i="18"/>
  <c r="I389" i="18"/>
  <c r="H391" i="18"/>
  <c r="L386" i="18"/>
  <c r="I387" i="18"/>
  <c r="L383" i="18"/>
  <c r="H384" i="18"/>
  <c r="I392" i="18"/>
  <c r="I383" i="18"/>
  <c r="L392" i="18"/>
  <c r="CP123" i="1" l="1"/>
  <c r="CQ123" i="1"/>
  <c r="CR123" i="1"/>
  <c r="CT123" i="1"/>
  <c r="DB123" i="1" s="1"/>
  <c r="CV123" i="1"/>
  <c r="DD123" i="1" s="1"/>
  <c r="CX123" i="1"/>
  <c r="DF123" i="1" s="1"/>
  <c r="CZ123" i="1"/>
  <c r="DH123" i="1" s="1"/>
  <c r="DK123" i="1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E371" i="18"/>
  <c r="E372" i="18"/>
  <c r="E373" i="18"/>
  <c r="E374" i="18"/>
  <c r="E375" i="18"/>
  <c r="E376" i="18"/>
  <c r="E377" i="18"/>
  <c r="E378" i="18"/>
  <c r="E379" i="18"/>
  <c r="E380" i="18"/>
  <c r="E381" i="18"/>
  <c r="E382" i="18"/>
  <c r="R371" i="18"/>
  <c r="R372" i="18"/>
  <c r="R373" i="18"/>
  <c r="R374" i="18"/>
  <c r="R375" i="18"/>
  <c r="R376" i="18"/>
  <c r="R377" i="18"/>
  <c r="R378" i="18"/>
  <c r="R379" i="18"/>
  <c r="R380" i="18"/>
  <c r="R381" i="18"/>
  <c r="R382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T371" i="18"/>
  <c r="T372" i="18"/>
  <c r="T373" i="18"/>
  <c r="T374" i="18"/>
  <c r="T375" i="18"/>
  <c r="T376" i="18"/>
  <c r="T377" i="18"/>
  <c r="T378" i="18"/>
  <c r="T379" i="18"/>
  <c r="T380" i="18"/>
  <c r="T381" i="18"/>
  <c r="T382" i="18"/>
  <c r="B1152" i="19"/>
  <c r="B1153" i="19"/>
  <c r="B1154" i="19"/>
  <c r="B1155" i="19"/>
  <c r="B1156" i="19"/>
  <c r="B1157" i="19"/>
  <c r="C1152" i="19"/>
  <c r="C1153" i="19"/>
  <c r="C1154" i="19"/>
  <c r="C1155" i="19"/>
  <c r="C1156" i="19"/>
  <c r="C1157" i="19"/>
  <c r="E1152" i="19"/>
  <c r="E1153" i="19"/>
  <c r="E1154" i="19"/>
  <c r="E1155" i="19"/>
  <c r="E1156" i="19"/>
  <c r="E1157" i="19"/>
  <c r="O1152" i="19"/>
  <c r="O1153" i="19"/>
  <c r="O1154" i="19"/>
  <c r="O1155" i="19"/>
  <c r="O1156" i="19"/>
  <c r="O1157" i="19"/>
  <c r="P1152" i="19"/>
  <c r="P1153" i="19"/>
  <c r="P1154" i="19"/>
  <c r="P1155" i="19"/>
  <c r="P1156" i="19"/>
  <c r="P1157" i="19"/>
  <c r="Q1152" i="19"/>
  <c r="Q1153" i="19"/>
  <c r="Q1154" i="19"/>
  <c r="Q1155" i="19"/>
  <c r="Q1156" i="19"/>
  <c r="Q1157" i="19"/>
  <c r="B1151" i="19"/>
  <c r="C1151" i="19"/>
  <c r="E1151" i="19"/>
  <c r="O1151" i="19"/>
  <c r="P1151" i="19"/>
  <c r="Q1151" i="19"/>
  <c r="B1119" i="19"/>
  <c r="B1120" i="19"/>
  <c r="B1121" i="19"/>
  <c r="B1122" i="19"/>
  <c r="B1123" i="19"/>
  <c r="B1124" i="19"/>
  <c r="B1125" i="19"/>
  <c r="B1126" i="19"/>
  <c r="B1127" i="19"/>
  <c r="B1128" i="19"/>
  <c r="B1129" i="19"/>
  <c r="B1130" i="19"/>
  <c r="B1131" i="19"/>
  <c r="B1132" i="19"/>
  <c r="B1133" i="19"/>
  <c r="B1134" i="19"/>
  <c r="B1135" i="19"/>
  <c r="B1136" i="19"/>
  <c r="B1137" i="19"/>
  <c r="B1138" i="19"/>
  <c r="B1139" i="19"/>
  <c r="B1140" i="19"/>
  <c r="B1141" i="19"/>
  <c r="B1142" i="19"/>
  <c r="B1143" i="19"/>
  <c r="B1144" i="19"/>
  <c r="B1145" i="19"/>
  <c r="B1146" i="19"/>
  <c r="B1147" i="19"/>
  <c r="B1148" i="19"/>
  <c r="B1149" i="19"/>
  <c r="B1150" i="19"/>
  <c r="C1119" i="19"/>
  <c r="C1120" i="19"/>
  <c r="C1121" i="19"/>
  <c r="C1122" i="19"/>
  <c r="C1123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C1137" i="19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E1119" i="19"/>
  <c r="E1120" i="19"/>
  <c r="E1121" i="19"/>
  <c r="E1122" i="19"/>
  <c r="E1123" i="19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E1137" i="19"/>
  <c r="E1138" i="19"/>
  <c r="E1139" i="19"/>
  <c r="E1140" i="19"/>
  <c r="E1141" i="19"/>
  <c r="E1142" i="19"/>
  <c r="E1143" i="19"/>
  <c r="E1144" i="19"/>
  <c r="E1145" i="19"/>
  <c r="E1146" i="19"/>
  <c r="E1147" i="19"/>
  <c r="E1148" i="19"/>
  <c r="E1149" i="19"/>
  <c r="E1150" i="19"/>
  <c r="O1119" i="19"/>
  <c r="O1120" i="19"/>
  <c r="O1121" i="19"/>
  <c r="O1122" i="19"/>
  <c r="O1123" i="19"/>
  <c r="O1124" i="19"/>
  <c r="O1125" i="19"/>
  <c r="O1126" i="19"/>
  <c r="O1127" i="19"/>
  <c r="O1128" i="19"/>
  <c r="O1129" i="19"/>
  <c r="O1130" i="19"/>
  <c r="O1131" i="19"/>
  <c r="O1132" i="19"/>
  <c r="O1133" i="19"/>
  <c r="O1134" i="19"/>
  <c r="O1135" i="19"/>
  <c r="O1136" i="19"/>
  <c r="O1137" i="19"/>
  <c r="O1138" i="19"/>
  <c r="O1139" i="19"/>
  <c r="O1140" i="19"/>
  <c r="O1141" i="19"/>
  <c r="O1142" i="19"/>
  <c r="O1143" i="19"/>
  <c r="O1144" i="19"/>
  <c r="O1145" i="19"/>
  <c r="O1146" i="19"/>
  <c r="O1147" i="19"/>
  <c r="O1148" i="19"/>
  <c r="O1149" i="19"/>
  <c r="O1150" i="19"/>
  <c r="P1119" i="19"/>
  <c r="P1120" i="19"/>
  <c r="P1121" i="19"/>
  <c r="P1122" i="19"/>
  <c r="P1123" i="19"/>
  <c r="P1124" i="19"/>
  <c r="P1125" i="19"/>
  <c r="P1126" i="19"/>
  <c r="P1127" i="19"/>
  <c r="P1128" i="19"/>
  <c r="P1129" i="19"/>
  <c r="P1130" i="19"/>
  <c r="P1131" i="19"/>
  <c r="P1132" i="19"/>
  <c r="P1133" i="19"/>
  <c r="P1134" i="19"/>
  <c r="P1135" i="19"/>
  <c r="P1136" i="19"/>
  <c r="P1137" i="19"/>
  <c r="P1138" i="19"/>
  <c r="P1139" i="19"/>
  <c r="P1140" i="19"/>
  <c r="P1141" i="19"/>
  <c r="P1142" i="19"/>
  <c r="P1143" i="19"/>
  <c r="P1144" i="19"/>
  <c r="P1145" i="19"/>
  <c r="P1146" i="19"/>
  <c r="P1147" i="19"/>
  <c r="P1148" i="19"/>
  <c r="P1149" i="19"/>
  <c r="P1150" i="19"/>
  <c r="Q1119" i="19"/>
  <c r="Q1120" i="19"/>
  <c r="Q1121" i="19"/>
  <c r="Q1122" i="19"/>
  <c r="Q1123" i="19"/>
  <c r="Q1124" i="19"/>
  <c r="Q1125" i="19"/>
  <c r="Q1126" i="19"/>
  <c r="Q1127" i="19"/>
  <c r="Q1128" i="19"/>
  <c r="Q1129" i="19"/>
  <c r="Q1130" i="19"/>
  <c r="Q1131" i="19"/>
  <c r="Q1132" i="19"/>
  <c r="Q1133" i="19"/>
  <c r="Q1134" i="19"/>
  <c r="Q1135" i="19"/>
  <c r="Q1136" i="19"/>
  <c r="Q1137" i="19"/>
  <c r="Q1138" i="19"/>
  <c r="Q1139" i="19"/>
  <c r="Q1140" i="19"/>
  <c r="Q1141" i="19"/>
  <c r="Q1142" i="19"/>
  <c r="Q1143" i="19"/>
  <c r="Q1144" i="19"/>
  <c r="Q1145" i="19"/>
  <c r="Q1146" i="19"/>
  <c r="Q1147" i="19"/>
  <c r="Q1148" i="19"/>
  <c r="Q1149" i="19"/>
  <c r="Q1150" i="19"/>
  <c r="I1154" i="19"/>
  <c r="H1139" i="19"/>
  <c r="H1120" i="19"/>
  <c r="H1134" i="19"/>
  <c r="I1137" i="19"/>
  <c r="H1152" i="19"/>
  <c r="I1144" i="19"/>
  <c r="I1138" i="19"/>
  <c r="I1119" i="19"/>
  <c r="H1143" i="19"/>
  <c r="H1124" i="19"/>
  <c r="I1134" i="19"/>
  <c r="I1141" i="19"/>
  <c r="H1151" i="19"/>
  <c r="H1128" i="19"/>
  <c r="H1138" i="19"/>
  <c r="I1135" i="19"/>
  <c r="I1132" i="19"/>
  <c r="I1133" i="19"/>
  <c r="I1127" i="19"/>
  <c r="H1125" i="19"/>
  <c r="H1147" i="19"/>
  <c r="I1153" i="19"/>
  <c r="I1148" i="19"/>
  <c r="H1123" i="19"/>
  <c r="I1121" i="19"/>
  <c r="I1145" i="19"/>
  <c r="H1127" i="19"/>
  <c r="I1125" i="19"/>
  <c r="H1135" i="19"/>
  <c r="I1150" i="19"/>
  <c r="H1157" i="19"/>
  <c r="I1123" i="19"/>
  <c r="H1136" i="19"/>
  <c r="H1121" i="19"/>
  <c r="H1122" i="19"/>
  <c r="H1131" i="19"/>
  <c r="I1146" i="19"/>
  <c r="I1152" i="19"/>
  <c r="H1126" i="19"/>
  <c r="H1140" i="19"/>
  <c r="H1130" i="19"/>
  <c r="I1128" i="19"/>
  <c r="I1142" i="19"/>
  <c r="I1149" i="19"/>
  <c r="H1142" i="19"/>
  <c r="H1154" i="19"/>
  <c r="H1119" i="19"/>
  <c r="I1140" i="19"/>
  <c r="H1155" i="19"/>
  <c r="I1129" i="19"/>
  <c r="H1149" i="19"/>
  <c r="I1156" i="19"/>
  <c r="I1151" i="19"/>
  <c r="I1139" i="19"/>
  <c r="I1120" i="19"/>
  <c r="H1137" i="19"/>
  <c r="I1122" i="19"/>
  <c r="I1131" i="19"/>
  <c r="H1145" i="19"/>
  <c r="H1153" i="19"/>
  <c r="I1155" i="19"/>
  <c r="I1143" i="19"/>
  <c r="I1124" i="19"/>
  <c r="H1141" i="19"/>
  <c r="I1126" i="19"/>
  <c r="I1147" i="19"/>
  <c r="H1129" i="19"/>
  <c r="H1156" i="19"/>
  <c r="H1132" i="19"/>
  <c r="H1133" i="19"/>
  <c r="H1146" i="19"/>
  <c r="I1157" i="19"/>
  <c r="I1136" i="19"/>
  <c r="H1144" i="19"/>
  <c r="H1150" i="19"/>
  <c r="I1130" i="19"/>
  <c r="H1148" i="19"/>
  <c r="I378" i="18"/>
  <c r="I379" i="18"/>
  <c r="H378" i="18"/>
  <c r="L382" i="18"/>
  <c r="I377" i="18"/>
  <c r="L377" i="18"/>
  <c r="H371" i="18"/>
  <c r="L376" i="18"/>
  <c r="L380" i="18"/>
  <c r="L378" i="18"/>
  <c r="H376" i="18"/>
  <c r="H373" i="18"/>
  <c r="L372" i="18"/>
  <c r="L381" i="18"/>
  <c r="I374" i="18"/>
  <c r="H381" i="18"/>
  <c r="L371" i="18"/>
  <c r="L379" i="18"/>
  <c r="I380" i="18"/>
  <c r="L373" i="18"/>
  <c r="L374" i="18"/>
  <c r="H374" i="18"/>
  <c r="I381" i="18"/>
  <c r="H375" i="18"/>
  <c r="H382" i="18"/>
  <c r="H380" i="18"/>
  <c r="I376" i="18"/>
  <c r="I373" i="18"/>
  <c r="H372" i="18"/>
  <c r="H379" i="18"/>
  <c r="I382" i="18"/>
  <c r="I371" i="18"/>
  <c r="L375" i="18"/>
  <c r="I375" i="18"/>
  <c r="I372" i="18"/>
  <c r="H377" i="18"/>
  <c r="DJ123" i="1" l="1"/>
  <c r="DL123" i="1" s="1"/>
  <c r="CP122" i="1" l="1"/>
  <c r="CQ122" i="1"/>
  <c r="CR122" i="1"/>
  <c r="CT122" i="1"/>
  <c r="DB122" i="1" s="1"/>
  <c r="CV122" i="1"/>
  <c r="DD122" i="1" s="1"/>
  <c r="CX122" i="1"/>
  <c r="DF122" i="1" s="1"/>
  <c r="CZ122" i="1"/>
  <c r="DH122" i="1" s="1"/>
  <c r="DK122" i="1"/>
  <c r="B1117" i="19"/>
  <c r="B1118" i="19"/>
  <c r="C1117" i="19"/>
  <c r="C1118" i="19"/>
  <c r="E1117" i="19"/>
  <c r="E1118" i="19"/>
  <c r="O1117" i="19"/>
  <c r="O1118" i="19"/>
  <c r="P1117" i="19"/>
  <c r="P1118" i="19"/>
  <c r="Q1117" i="19"/>
  <c r="Q1118" i="19"/>
  <c r="I1117" i="19"/>
  <c r="H1118" i="19"/>
  <c r="H1117" i="19"/>
  <c r="I1118" i="19"/>
  <c r="DJ122" i="1" l="1"/>
  <c r="DL122" i="1" s="1"/>
  <c r="B369" i="18" l="1"/>
  <c r="B370" i="18"/>
  <c r="C369" i="18"/>
  <c r="C370" i="18"/>
  <c r="E369" i="18"/>
  <c r="E370" i="18"/>
  <c r="R369" i="18"/>
  <c r="R370" i="18"/>
  <c r="S369" i="18"/>
  <c r="S370" i="18"/>
  <c r="T369" i="18"/>
  <c r="T370" i="18"/>
  <c r="L369" i="18"/>
  <c r="H369" i="18"/>
  <c r="I369" i="18"/>
  <c r="I370" i="18"/>
  <c r="H370" i="18"/>
  <c r="CP121" i="1" l="1"/>
  <c r="CQ121" i="1"/>
  <c r="CR121" i="1"/>
  <c r="CT121" i="1"/>
  <c r="DB121" i="1" s="1"/>
  <c r="CV121" i="1"/>
  <c r="DD121" i="1" s="1"/>
  <c r="CX121" i="1"/>
  <c r="DF121" i="1" s="1"/>
  <c r="CZ121" i="1"/>
  <c r="DH121" i="1" s="1"/>
  <c r="DK121" i="1"/>
  <c r="DJ121" i="1" l="1"/>
  <c r="DL121" i="1" s="1"/>
  <c r="B367" i="18" l="1"/>
  <c r="B368" i="18"/>
  <c r="C367" i="18"/>
  <c r="C368" i="18"/>
  <c r="E367" i="18"/>
  <c r="E368" i="18"/>
  <c r="R367" i="18"/>
  <c r="R368" i="18"/>
  <c r="S367" i="18"/>
  <c r="S368" i="18"/>
  <c r="T367" i="18"/>
  <c r="T368" i="18"/>
  <c r="H368" i="18"/>
  <c r="L368" i="18"/>
  <c r="I367" i="18"/>
  <c r="L367" i="18"/>
  <c r="H367" i="18"/>
  <c r="I368" i="18"/>
  <c r="CP120" i="1" l="1"/>
  <c r="CQ120" i="1"/>
  <c r="CR120" i="1"/>
  <c r="CT120" i="1"/>
  <c r="DB120" i="1" s="1"/>
  <c r="CV120" i="1"/>
  <c r="DD120" i="1" s="1"/>
  <c r="CX120" i="1"/>
  <c r="DF120" i="1" s="1"/>
  <c r="CZ120" i="1"/>
  <c r="DH120" i="1" s="1"/>
  <c r="DK120" i="1"/>
  <c r="B365" i="18"/>
  <c r="B366" i="18"/>
  <c r="C365" i="18"/>
  <c r="C366" i="18"/>
  <c r="E365" i="18"/>
  <c r="E366" i="18"/>
  <c r="R365" i="18"/>
  <c r="R366" i="18"/>
  <c r="S365" i="18"/>
  <c r="S366" i="18"/>
  <c r="T365" i="18"/>
  <c r="T366" i="18"/>
  <c r="L365" i="18"/>
  <c r="L366" i="18"/>
  <c r="I365" i="18"/>
  <c r="H365" i="18"/>
  <c r="H366" i="18"/>
  <c r="I366" i="18"/>
  <c r="DJ120" i="1" l="1"/>
  <c r="DL120" i="1" s="1"/>
  <c r="B15" i="20" l="1"/>
  <c r="B16" i="20"/>
  <c r="C15" i="20"/>
  <c r="C16" i="20"/>
  <c r="E15" i="20"/>
  <c r="E16" i="20"/>
  <c r="P15" i="20"/>
  <c r="P16" i="20"/>
  <c r="Q15" i="20"/>
  <c r="Q16" i="20"/>
  <c r="R15" i="20"/>
  <c r="R16" i="20"/>
  <c r="AA15" i="20"/>
  <c r="AA16" i="20"/>
  <c r="H15" i="20"/>
  <c r="H16" i="20"/>
  <c r="I15" i="20"/>
  <c r="I16" i="20"/>
  <c r="CP119" i="1" l="1"/>
  <c r="CQ119" i="1"/>
  <c r="CR119" i="1"/>
  <c r="CT119" i="1"/>
  <c r="DB119" i="1" s="1"/>
  <c r="CV119" i="1"/>
  <c r="DD119" i="1" s="1"/>
  <c r="CX119" i="1"/>
  <c r="DF119" i="1" s="1"/>
  <c r="CZ119" i="1"/>
  <c r="DH119" i="1" s="1"/>
  <c r="DK119" i="1"/>
  <c r="DJ119" i="1" l="1"/>
  <c r="DL119" i="1" s="1"/>
  <c r="B364" i="18" l="1"/>
  <c r="C364" i="18"/>
  <c r="E364" i="18"/>
  <c r="R364" i="18"/>
  <c r="S364" i="18"/>
  <c r="T364" i="18"/>
  <c r="L364" i="18"/>
  <c r="H364" i="18"/>
  <c r="I364" i="18"/>
  <c r="CP118" i="1" l="1"/>
  <c r="CQ118" i="1"/>
  <c r="CR118" i="1"/>
  <c r="CT118" i="1"/>
  <c r="DB118" i="1" s="1"/>
  <c r="CV118" i="1"/>
  <c r="DD118" i="1" s="1"/>
  <c r="CX118" i="1"/>
  <c r="DF118" i="1" s="1"/>
  <c r="CZ118" i="1"/>
  <c r="DH118" i="1" s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L362" i="18"/>
  <c r="H363" i="18"/>
  <c r="I362" i="18"/>
  <c r="H362" i="18"/>
  <c r="L363" i="18"/>
  <c r="I363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H1110" i="19"/>
  <c r="H1098" i="19"/>
  <c r="H1114" i="19"/>
  <c r="H1103" i="19"/>
  <c r="I1099" i="19"/>
  <c r="H1106" i="19"/>
  <c r="I1108" i="19"/>
  <c r="H1100" i="19"/>
  <c r="I1111" i="19"/>
  <c r="I1098" i="19"/>
  <c r="H1099" i="19"/>
  <c r="H1096" i="19"/>
  <c r="I1115" i="19"/>
  <c r="I1104" i="19"/>
  <c r="I1101" i="19"/>
  <c r="I1109" i="19"/>
  <c r="I1100" i="19"/>
  <c r="I1112" i="19"/>
  <c r="H1104" i="19"/>
  <c r="I1102" i="19"/>
  <c r="I1096" i="19"/>
  <c r="H1107" i="19"/>
  <c r="H1109" i="19"/>
  <c r="H1116" i="19"/>
  <c r="I1097" i="19"/>
  <c r="H1111" i="19"/>
  <c r="H1102" i="19"/>
  <c r="H1108" i="19"/>
  <c r="I1116" i="19"/>
  <c r="H1113" i="19"/>
  <c r="H1115" i="19"/>
  <c r="I1103" i="19"/>
  <c r="I1107" i="19"/>
  <c r="I1113" i="19"/>
  <c r="H1097" i="19"/>
  <c r="H1101" i="19"/>
  <c r="I1106" i="19"/>
  <c r="I1105" i="19"/>
  <c r="I1114" i="19"/>
  <c r="I1110" i="19"/>
  <c r="H1105" i="19"/>
  <c r="H1112" i="19"/>
  <c r="L358" i="18"/>
  <c r="I361" i="18"/>
  <c r="L360" i="18"/>
  <c r="H361" i="18"/>
  <c r="H356" i="18"/>
  <c r="L359" i="18"/>
  <c r="I359" i="18"/>
  <c r="L357" i="18"/>
  <c r="I356" i="18"/>
  <c r="H357" i="18"/>
  <c r="H358" i="18"/>
  <c r="I360" i="18"/>
  <c r="I358" i="18"/>
  <c r="H359" i="18"/>
  <c r="L356" i="18"/>
  <c r="H360" i="18"/>
  <c r="I357" i="18"/>
  <c r="L361" i="18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I1095" i="19"/>
  <c r="H1095" i="19"/>
  <c r="I1094" i="19"/>
  <c r="H1094" i="19"/>
  <c r="I355" i="18"/>
  <c r="H352" i="18"/>
  <c r="L353" i="18"/>
  <c r="H353" i="18"/>
  <c r="H354" i="18"/>
  <c r="L352" i="18"/>
  <c r="I352" i="18"/>
  <c r="I353" i="18"/>
  <c r="H355" i="18"/>
  <c r="L354" i="18"/>
  <c r="L355" i="18"/>
  <c r="I354" i="18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L351" i="18"/>
  <c r="I351" i="18"/>
  <c r="H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H349" i="18"/>
  <c r="L350" i="18"/>
  <c r="H350" i="18"/>
  <c r="L349" i="18"/>
  <c r="I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L347" i="18"/>
  <c r="H346" i="18"/>
  <c r="I347" i="18"/>
  <c r="I346" i="18"/>
  <c r="I348" i="18"/>
  <c r="L348" i="18"/>
  <c r="L346" i="18"/>
  <c r="H347" i="18"/>
  <c r="H348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H345" i="18"/>
  <c r="L345" i="18"/>
  <c r="I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3" i="18"/>
  <c r="H343" i="18"/>
  <c r="I344" i="18"/>
  <c r="H344" i="18"/>
  <c r="L343" i="18"/>
  <c r="L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I342" i="18"/>
  <c r="I341" i="18"/>
  <c r="L342" i="18"/>
  <c r="H342" i="18"/>
  <c r="L341" i="18"/>
  <c r="H341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40" i="18"/>
  <c r="I340" i="18"/>
  <c r="I339" i="18"/>
  <c r="H340" i="18"/>
  <c r="L339" i="18"/>
  <c r="H339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H338" i="18"/>
  <c r="L338" i="18"/>
  <c r="H337" i="18"/>
  <c r="L337" i="18"/>
  <c r="I338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I1093" i="19"/>
  <c r="H1093" i="19"/>
  <c r="H1088" i="19"/>
  <c r="I1089" i="19"/>
  <c r="H1089" i="19"/>
  <c r="I1088" i="19"/>
  <c r="H1092" i="19"/>
  <c r="I1092" i="19"/>
  <c r="I1090" i="19"/>
  <c r="H1091" i="19"/>
  <c r="I1091" i="19"/>
  <c r="H1090" i="19"/>
  <c r="I334" i="18"/>
  <c r="I333" i="18"/>
  <c r="I331" i="18"/>
  <c r="L333" i="18"/>
  <c r="L335" i="18"/>
  <c r="L336" i="18"/>
  <c r="H334" i="18"/>
  <c r="H335" i="18"/>
  <c r="L332" i="18"/>
  <c r="H331" i="18"/>
  <c r="H333" i="18"/>
  <c r="I332" i="18"/>
  <c r="H336" i="18"/>
  <c r="I335" i="18"/>
  <c r="L334" i="18"/>
  <c r="H332" i="18"/>
  <c r="I336" i="18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I1087" i="19"/>
  <c r="I1086" i="19"/>
  <c r="H1083" i="19"/>
  <c r="H1086" i="19"/>
  <c r="I1083" i="19"/>
  <c r="H1085" i="19"/>
  <c r="I1085" i="19"/>
  <c r="H1084" i="19"/>
  <c r="H1087" i="19"/>
  <c r="I1084" i="19"/>
  <c r="H329" i="18"/>
  <c r="L330" i="18"/>
  <c r="H325" i="18"/>
  <c r="L325" i="18"/>
  <c r="I326" i="18"/>
  <c r="L328" i="18"/>
  <c r="I324" i="18"/>
  <c r="I329" i="18"/>
  <c r="H326" i="18"/>
  <c r="H330" i="18"/>
  <c r="L326" i="18"/>
  <c r="H327" i="18"/>
  <c r="H328" i="18"/>
  <c r="L327" i="18"/>
  <c r="H324" i="18"/>
  <c r="I328" i="18"/>
  <c r="I325" i="18"/>
  <c r="L324" i="18"/>
  <c r="I327" i="18"/>
  <c r="I330" i="18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H323" i="18"/>
  <c r="L323" i="18"/>
  <c r="I322" i="18"/>
  <c r="L322" i="18"/>
  <c r="I323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L317" i="18"/>
  <c r="H320" i="18"/>
  <c r="L318" i="18"/>
  <c r="L321" i="18"/>
  <c r="I317" i="18"/>
  <c r="H319" i="18"/>
  <c r="I318" i="18"/>
  <c r="H317" i="18"/>
  <c r="I321" i="18"/>
  <c r="H321" i="18"/>
  <c r="I320" i="18"/>
  <c r="L320" i="18"/>
  <c r="H318" i="18"/>
  <c r="I319" i="18"/>
  <c r="L319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I1081" i="19"/>
  <c r="H1081" i="19"/>
  <c r="H1082" i="19"/>
  <c r="I1082" i="19"/>
  <c r="I1079" i="19"/>
  <c r="I1080" i="19"/>
  <c r="H1079" i="19"/>
  <c r="H1080" i="19"/>
  <c r="L305" i="18"/>
  <c r="L311" i="18"/>
  <c r="H308" i="18"/>
  <c r="L310" i="18"/>
  <c r="L303" i="18"/>
  <c r="L306" i="18"/>
  <c r="H306" i="18"/>
  <c r="H303" i="18"/>
  <c r="H307" i="18"/>
  <c r="L316" i="18"/>
  <c r="H313" i="18"/>
  <c r="L308" i="18"/>
  <c r="I309" i="18"/>
  <c r="I315" i="18"/>
  <c r="H309" i="18"/>
  <c r="I311" i="18"/>
  <c r="L304" i="18"/>
  <c r="L312" i="18"/>
  <c r="H304" i="18"/>
  <c r="H311" i="18"/>
  <c r="I303" i="18"/>
  <c r="I314" i="18"/>
  <c r="I308" i="18"/>
  <c r="H310" i="18"/>
  <c r="I306" i="18"/>
  <c r="I310" i="18"/>
  <c r="I307" i="18"/>
  <c r="I305" i="18"/>
  <c r="I316" i="18"/>
  <c r="H315" i="18"/>
  <c r="L313" i="18"/>
  <c r="L314" i="18"/>
  <c r="H316" i="18"/>
  <c r="I304" i="18"/>
  <c r="I313" i="18"/>
  <c r="L309" i="18"/>
  <c r="H312" i="18"/>
  <c r="L307" i="18"/>
  <c r="H305" i="18"/>
  <c r="I312" i="18"/>
  <c r="L315" i="18"/>
  <c r="H314" i="18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I1062" i="19"/>
  <c r="H1071" i="19"/>
  <c r="I1071" i="19"/>
  <c r="I1074" i="19"/>
  <c r="I1063" i="19"/>
  <c r="I1070" i="19"/>
  <c r="I1065" i="19"/>
  <c r="H1070" i="19"/>
  <c r="H1068" i="19"/>
  <c r="I1072" i="19"/>
  <c r="H1069" i="19"/>
  <c r="H1066" i="19"/>
  <c r="H1076" i="19"/>
  <c r="H1073" i="19"/>
  <c r="H1062" i="19"/>
  <c r="I1075" i="19"/>
  <c r="I1067" i="19"/>
  <c r="I1066" i="19"/>
  <c r="I1060" i="19"/>
  <c r="H1074" i="19"/>
  <c r="H1061" i="19"/>
  <c r="H1067" i="19"/>
  <c r="I1069" i="19"/>
  <c r="I1068" i="19"/>
  <c r="I1076" i="19"/>
  <c r="H1065" i="19"/>
  <c r="H1060" i="19"/>
  <c r="I1077" i="19"/>
  <c r="I1064" i="19"/>
  <c r="H1075" i="19"/>
  <c r="H1078" i="19"/>
  <c r="I1078" i="19"/>
  <c r="H1077" i="19"/>
  <c r="H1072" i="19"/>
  <c r="H1064" i="19"/>
  <c r="I1073" i="19"/>
  <c r="I1061" i="19"/>
  <c r="H1063" i="19"/>
  <c r="L302" i="18"/>
  <c r="L293" i="18"/>
  <c r="L295" i="18"/>
  <c r="L294" i="18"/>
  <c r="L297" i="18"/>
  <c r="H297" i="18"/>
  <c r="I300" i="18"/>
  <c r="I294" i="18"/>
  <c r="L300" i="18"/>
  <c r="H300" i="18"/>
  <c r="H298" i="18"/>
  <c r="I293" i="18"/>
  <c r="I299" i="18"/>
  <c r="H295" i="18"/>
  <c r="L296" i="18"/>
  <c r="H299" i="18"/>
  <c r="I295" i="18"/>
  <c r="I301" i="18"/>
  <c r="H296" i="18"/>
  <c r="I297" i="18"/>
  <c r="L301" i="18"/>
  <c r="I298" i="18"/>
  <c r="I302" i="18"/>
  <c r="H302" i="18"/>
  <c r="H294" i="18"/>
  <c r="H293" i="18"/>
  <c r="L299" i="18"/>
  <c r="I296" i="18"/>
  <c r="L298" i="18"/>
  <c r="H301" i="18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1057" i="19"/>
  <c r="H1059" i="19"/>
  <c r="I1056" i="19"/>
  <c r="H1056" i="19"/>
  <c r="I1059" i="19"/>
  <c r="H1057" i="19"/>
  <c r="H1058" i="19"/>
  <c r="I1058" i="19"/>
  <c r="L292" i="18"/>
  <c r="I292" i="18"/>
  <c r="H287" i="18"/>
  <c r="I287" i="18"/>
  <c r="H290" i="18"/>
  <c r="I290" i="18"/>
  <c r="L288" i="18"/>
  <c r="I291" i="18"/>
  <c r="H292" i="18"/>
  <c r="I286" i="18"/>
  <c r="H289" i="18"/>
  <c r="L290" i="18"/>
  <c r="L291" i="18"/>
  <c r="I288" i="18"/>
  <c r="L287" i="18"/>
  <c r="I289" i="18"/>
  <c r="L289" i="18"/>
  <c r="H286" i="18"/>
  <c r="H288" i="18"/>
  <c r="L286" i="18"/>
  <c r="H291" i="18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1055" i="19"/>
  <c r="H1053" i="19"/>
  <c r="H1054" i="19"/>
  <c r="I1054" i="19"/>
  <c r="H1052" i="19"/>
  <c r="I1052" i="19"/>
  <c r="I1053" i="19"/>
  <c r="I1055" i="19"/>
  <c r="L281" i="18"/>
  <c r="I281" i="18"/>
  <c r="I285" i="18"/>
  <c r="I282" i="18"/>
  <c r="L282" i="18"/>
  <c r="I280" i="18"/>
  <c r="L285" i="18"/>
  <c r="I284" i="18"/>
  <c r="L284" i="18"/>
  <c r="I283" i="18"/>
  <c r="L283" i="18"/>
  <c r="H281" i="18"/>
  <c r="H282" i="18"/>
  <c r="H285" i="18"/>
  <c r="H284" i="18"/>
  <c r="L280" i="18"/>
  <c r="H283" i="18"/>
  <c r="H280" i="18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H1048" i="19"/>
  <c r="H1045" i="19"/>
  <c r="I1050" i="19"/>
  <c r="I1043" i="19"/>
  <c r="I1047" i="19"/>
  <c r="I1044" i="19"/>
  <c r="H1046" i="19"/>
  <c r="I1046" i="19"/>
  <c r="I1045" i="19"/>
  <c r="I1049" i="19"/>
  <c r="I1051" i="19"/>
  <c r="H1051" i="19"/>
  <c r="I1048" i="19"/>
  <c r="H1050" i="19"/>
  <c r="H1043" i="19"/>
  <c r="H1047" i="19"/>
  <c r="H1044" i="19"/>
  <c r="H1049" i="19"/>
  <c r="H278" i="18"/>
  <c r="I278" i="18"/>
  <c r="L279" i="18"/>
  <c r="H279" i="18"/>
  <c r="L277" i="18"/>
  <c r="I279" i="18"/>
  <c r="I277" i="18"/>
  <c r="L278" i="18"/>
  <c r="H277" i="18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L275" i="18"/>
  <c r="H275" i="18"/>
  <c r="I274" i="18"/>
  <c r="L276" i="18"/>
  <c r="L274" i="18"/>
  <c r="I276" i="18"/>
  <c r="I275" i="18"/>
  <c r="H276" i="18"/>
  <c r="H274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H270" i="18"/>
  <c r="L271" i="18"/>
  <c r="I272" i="18"/>
  <c r="H272" i="18"/>
  <c r="I271" i="18"/>
  <c r="I273" i="18"/>
  <c r="L270" i="18"/>
  <c r="H273" i="18"/>
  <c r="L273" i="18"/>
  <c r="H271" i="18"/>
  <c r="L272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I1033" i="19"/>
  <c r="I1040" i="19"/>
  <c r="H1042" i="19"/>
  <c r="H1033" i="19"/>
  <c r="I1041" i="19"/>
  <c r="H1039" i="19"/>
  <c r="I1030" i="19"/>
  <c r="H1037" i="19"/>
  <c r="H1029" i="19"/>
  <c r="I1034" i="19"/>
  <c r="H1040" i="19"/>
  <c r="I1031" i="19"/>
  <c r="H1034" i="19"/>
  <c r="I1032" i="19"/>
  <c r="I1039" i="19"/>
  <c r="I1036" i="19"/>
  <c r="H1030" i="19"/>
  <c r="H1036" i="19"/>
  <c r="I1042" i="19"/>
  <c r="I1038" i="19"/>
  <c r="H1038" i="19"/>
  <c r="H1031" i="19"/>
  <c r="I1029" i="19"/>
  <c r="I1037" i="19"/>
  <c r="H1032" i="19"/>
  <c r="I1035" i="19"/>
  <c r="H1035" i="19"/>
  <c r="H1041" i="19"/>
  <c r="I269" i="18"/>
  <c r="H269" i="18"/>
  <c r="I265" i="18"/>
  <c r="L265" i="18"/>
  <c r="H267" i="18"/>
  <c r="L264" i="18"/>
  <c r="L266" i="18"/>
  <c r="H266" i="18"/>
  <c r="I267" i="18"/>
  <c r="I264" i="18"/>
  <c r="I268" i="18"/>
  <c r="H265" i="18"/>
  <c r="H264" i="18"/>
  <c r="L268" i="18"/>
  <c r="L267" i="18"/>
  <c r="I266" i="18"/>
  <c r="L269" i="18"/>
  <c r="H268" i="18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L260" i="18"/>
  <c r="H259" i="18"/>
  <c r="L259" i="18"/>
  <c r="I259" i="18"/>
  <c r="I256" i="18"/>
  <c r="H257" i="18"/>
  <c r="I257" i="18"/>
  <c r="I260" i="18"/>
  <c r="I261" i="18"/>
  <c r="H263" i="18"/>
  <c r="L262" i="18"/>
  <c r="L257" i="18"/>
  <c r="H261" i="18"/>
  <c r="I258" i="18"/>
  <c r="L258" i="18"/>
  <c r="I263" i="18"/>
  <c r="H262" i="18"/>
  <c r="H256" i="18"/>
  <c r="I262" i="18"/>
  <c r="H260" i="18"/>
  <c r="H258" i="18"/>
  <c r="L256" i="18"/>
  <c r="L261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I1028" i="19"/>
  <c r="H1012" i="19"/>
  <c r="I1016" i="19"/>
  <c r="I1026" i="19"/>
  <c r="I1013" i="19"/>
  <c r="I1022" i="19"/>
  <c r="H1024" i="19"/>
  <c r="H1023" i="19"/>
  <c r="H1016" i="19"/>
  <c r="H1017" i="19"/>
  <c r="H1013" i="19"/>
  <c r="I1012" i="19"/>
  <c r="H1018" i="19"/>
  <c r="H1021" i="19"/>
  <c r="I1024" i="19"/>
  <c r="H1025" i="19"/>
  <c r="I1027" i="19"/>
  <c r="I1025" i="19"/>
  <c r="H1027" i="19"/>
  <c r="H1015" i="19"/>
  <c r="I1015" i="19"/>
  <c r="I1020" i="19"/>
  <c r="I1017" i="19"/>
  <c r="I1018" i="19"/>
  <c r="H1014" i="19"/>
  <c r="I1021" i="19"/>
  <c r="I1023" i="19"/>
  <c r="H1019" i="19"/>
  <c r="H1022" i="19"/>
  <c r="I1014" i="19"/>
  <c r="H1026" i="19"/>
  <c r="I1019" i="19"/>
  <c r="H1020" i="19"/>
  <c r="H1028" i="19"/>
  <c r="H251" i="18"/>
  <c r="H252" i="18"/>
  <c r="I254" i="18"/>
  <c r="I251" i="18"/>
  <c r="H253" i="18"/>
  <c r="L253" i="18"/>
  <c r="I250" i="18"/>
  <c r="H254" i="18"/>
  <c r="L254" i="18"/>
  <c r="L250" i="18"/>
  <c r="L252" i="18"/>
  <c r="I255" i="18"/>
  <c r="H250" i="18"/>
  <c r="H255" i="18"/>
  <c r="I253" i="18"/>
  <c r="L251" i="18"/>
  <c r="I252" i="18"/>
  <c r="L255" i="18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H1010" i="19"/>
  <c r="I1011" i="19"/>
  <c r="H1011" i="19"/>
  <c r="I1010" i="19"/>
  <c r="L246" i="18"/>
  <c r="I249" i="18"/>
  <c r="H247" i="18"/>
  <c r="L245" i="18"/>
  <c r="I245" i="18"/>
  <c r="L247" i="18"/>
  <c r="H245" i="18"/>
  <c r="I246" i="18"/>
  <c r="L248" i="18"/>
  <c r="H246" i="18"/>
  <c r="H249" i="18"/>
  <c r="I248" i="18"/>
  <c r="L249" i="18"/>
  <c r="I247" i="18"/>
  <c r="H248" i="18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6" i="19"/>
  <c r="I1000" i="19"/>
  <c r="H1008" i="19"/>
  <c r="I994" i="19"/>
  <c r="H998" i="19"/>
  <c r="H993" i="19"/>
  <c r="H994" i="19"/>
  <c r="H996" i="19"/>
  <c r="I1006" i="19"/>
  <c r="I1008" i="19"/>
  <c r="I997" i="19"/>
  <c r="I1004" i="19"/>
  <c r="H991" i="19"/>
  <c r="I1002" i="19"/>
  <c r="I999" i="19"/>
  <c r="I993" i="19"/>
  <c r="H1005" i="19"/>
  <c r="I1003" i="19"/>
  <c r="H1009" i="19"/>
  <c r="H1007" i="19"/>
  <c r="I998" i="19"/>
  <c r="I1001" i="19"/>
  <c r="H1004" i="19"/>
  <c r="I995" i="19"/>
  <c r="H1001" i="19"/>
  <c r="I1005" i="19"/>
  <c r="I1007" i="19"/>
  <c r="H990" i="19"/>
  <c r="H1006" i="19"/>
  <c r="H1002" i="19"/>
  <c r="I992" i="19"/>
  <c r="H999" i="19"/>
  <c r="I1009" i="19"/>
  <c r="I991" i="19"/>
  <c r="H1003" i="19"/>
  <c r="H995" i="19"/>
  <c r="H997" i="19"/>
  <c r="H1000" i="19"/>
  <c r="H992" i="19"/>
  <c r="I990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L219" i="18"/>
  <c r="I241" i="18"/>
  <c r="H242" i="18"/>
  <c r="H239" i="18"/>
  <c r="L217" i="18"/>
  <c r="L237" i="18"/>
  <c r="L220" i="18"/>
  <c r="L238" i="18"/>
  <c r="L226" i="18"/>
  <c r="L221" i="18"/>
  <c r="I242" i="18"/>
  <c r="H238" i="18"/>
  <c r="I239" i="18"/>
  <c r="L236" i="18"/>
  <c r="L233" i="18"/>
  <c r="I240" i="18"/>
  <c r="L235" i="18"/>
  <c r="I243" i="18"/>
  <c r="L230" i="18"/>
  <c r="L240" i="18"/>
  <c r="L244" i="18"/>
  <c r="L242" i="18"/>
  <c r="H243" i="18"/>
  <c r="H240" i="18"/>
  <c r="L225" i="18"/>
  <c r="L222" i="18"/>
  <c r="L228" i="18"/>
  <c r="L239" i="18"/>
  <c r="L243" i="18"/>
  <c r="L231" i="18"/>
  <c r="H241" i="18"/>
  <c r="L215" i="18"/>
  <c r="L218" i="18"/>
  <c r="L229" i="18"/>
  <c r="L227" i="18"/>
  <c r="L234" i="18"/>
  <c r="H244" i="18"/>
  <c r="I244" i="18"/>
  <c r="I238" i="18"/>
  <c r="L232" i="18"/>
  <c r="L223" i="18"/>
  <c r="L214" i="18"/>
  <c r="L216" i="18"/>
  <c r="L224" i="18"/>
  <c r="L241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I236" i="18"/>
  <c r="I237" i="18"/>
  <c r="H236" i="18"/>
  <c r="H237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I231" i="18"/>
  <c r="I235" i="18"/>
  <c r="H233" i="18"/>
  <c r="H234" i="18"/>
  <c r="I234" i="18"/>
  <c r="I232" i="18"/>
  <c r="H232" i="18"/>
  <c r="H235" i="18"/>
  <c r="I233" i="18"/>
  <c r="H231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H984" i="19"/>
  <c r="H959" i="19"/>
  <c r="I984" i="19"/>
  <c r="I967" i="19"/>
  <c r="I965" i="19"/>
  <c r="H971" i="19"/>
  <c r="I961" i="19"/>
  <c r="H961" i="19"/>
  <c r="I962" i="19"/>
  <c r="I976" i="19"/>
  <c r="I989" i="19"/>
  <c r="I957" i="19"/>
  <c r="H983" i="19"/>
  <c r="H956" i="19"/>
  <c r="H979" i="19"/>
  <c r="I971" i="19"/>
  <c r="I987" i="19"/>
  <c r="I972" i="19"/>
  <c r="H981" i="19"/>
  <c r="I964" i="19"/>
  <c r="I983" i="19"/>
  <c r="I958" i="19"/>
  <c r="H957" i="19"/>
  <c r="I966" i="19"/>
  <c r="H970" i="19"/>
  <c r="I977" i="19"/>
  <c r="I974" i="19"/>
  <c r="H976" i="19"/>
  <c r="I956" i="19"/>
  <c r="H963" i="19"/>
  <c r="H972" i="19"/>
  <c r="I960" i="19"/>
  <c r="H974" i="19"/>
  <c r="H982" i="19"/>
  <c r="I978" i="19"/>
  <c r="H985" i="19"/>
  <c r="H989" i="19"/>
  <c r="I986" i="19"/>
  <c r="I988" i="19"/>
  <c r="I982" i="19"/>
  <c r="H969" i="19"/>
  <c r="I970" i="19"/>
  <c r="I985" i="19"/>
  <c r="H980" i="19"/>
  <c r="H986" i="19"/>
  <c r="H987" i="19"/>
  <c r="H973" i="19"/>
  <c r="H960" i="19"/>
  <c r="H975" i="19"/>
  <c r="H977" i="19"/>
  <c r="H967" i="19"/>
  <c r="I980" i="19"/>
  <c r="H962" i="19"/>
  <c r="H958" i="19"/>
  <c r="H978" i="19"/>
  <c r="I973" i="19"/>
  <c r="H965" i="19"/>
  <c r="H966" i="19"/>
  <c r="I963" i="19"/>
  <c r="H988" i="19"/>
  <c r="I969" i="19"/>
  <c r="I981" i="19"/>
  <c r="I959" i="19"/>
  <c r="I968" i="19"/>
  <c r="I975" i="19"/>
  <c r="I979" i="19"/>
  <c r="H964" i="19"/>
  <c r="H968" i="19"/>
  <c r="I229" i="18"/>
  <c r="I225" i="18"/>
  <c r="L188" i="18"/>
  <c r="H225" i="18"/>
  <c r="H226" i="18"/>
  <c r="I230" i="18"/>
  <c r="H228" i="18"/>
  <c r="I227" i="18"/>
  <c r="H227" i="18"/>
  <c r="L189" i="18"/>
  <c r="I228" i="18"/>
  <c r="L190" i="18"/>
  <c r="I226" i="18"/>
  <c r="I224" i="18"/>
  <c r="H224" i="18"/>
  <c r="L213" i="18"/>
  <c r="H229" i="18"/>
  <c r="H230" i="18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I935" i="19"/>
  <c r="I928" i="19"/>
  <c r="I945" i="19"/>
  <c r="H942" i="19"/>
  <c r="I939" i="19"/>
  <c r="H950" i="19"/>
  <c r="H927" i="19"/>
  <c r="I936" i="19"/>
  <c r="I950" i="19"/>
  <c r="H955" i="19"/>
  <c r="I948" i="19"/>
  <c r="I949" i="19"/>
  <c r="I955" i="19"/>
  <c r="I951" i="19"/>
  <c r="H932" i="19"/>
  <c r="I954" i="19"/>
  <c r="H941" i="19"/>
  <c r="I932" i="19"/>
  <c r="I943" i="19"/>
  <c r="H933" i="19"/>
  <c r="H949" i="19"/>
  <c r="I931" i="19"/>
  <c r="H940" i="19"/>
  <c r="H946" i="19"/>
  <c r="H934" i="19"/>
  <c r="H929" i="19"/>
  <c r="H945" i="19"/>
  <c r="I942" i="19"/>
  <c r="I927" i="19"/>
  <c r="I937" i="19"/>
  <c r="H943" i="19"/>
  <c r="I929" i="19"/>
  <c r="I941" i="19"/>
  <c r="H937" i="19"/>
  <c r="I947" i="19"/>
  <c r="H936" i="19"/>
  <c r="I940" i="19"/>
  <c r="I933" i="19"/>
  <c r="I930" i="19"/>
  <c r="H947" i="19"/>
  <c r="I946" i="19"/>
  <c r="H935" i="19"/>
  <c r="I944" i="19"/>
  <c r="H954" i="19"/>
  <c r="I938" i="19"/>
  <c r="H952" i="19"/>
  <c r="H939" i="19"/>
  <c r="H953" i="19"/>
  <c r="H931" i="19"/>
  <c r="H948" i="19"/>
  <c r="I934" i="19"/>
  <c r="H930" i="19"/>
  <c r="H944" i="19"/>
  <c r="H938" i="19"/>
  <c r="H951" i="19"/>
  <c r="I952" i="19"/>
  <c r="I953" i="19"/>
  <c r="H928" i="19"/>
  <c r="E2" i="20" l="1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A1117" i="19" s="1"/>
  <c r="A1118" i="19" s="1"/>
  <c r="A1119" i="19" s="1"/>
  <c r="A1120" i="19" s="1"/>
  <c r="A1121" i="19" s="1"/>
  <c r="A1122" i="19" s="1"/>
  <c r="A1123" i="19" s="1"/>
  <c r="A1124" i="19" s="1"/>
  <c r="A1125" i="19" s="1"/>
  <c r="A1126" i="19" s="1"/>
  <c r="A1127" i="19" s="1"/>
  <c r="A1128" i="19" s="1"/>
  <c r="A1129" i="19" s="1"/>
  <c r="A1130" i="19" s="1"/>
  <c r="A1131" i="19" s="1"/>
  <c r="A1132" i="19" s="1"/>
  <c r="A1133" i="19" s="1"/>
  <c r="A1134" i="19" s="1"/>
  <c r="A1135" i="19" s="1"/>
  <c r="A1136" i="19" s="1"/>
  <c r="A1137" i="19" s="1"/>
  <c r="A1138" i="19" s="1"/>
  <c r="A1139" i="19" s="1"/>
  <c r="A1140" i="19" s="1"/>
  <c r="A1141" i="19" s="1"/>
  <c r="A1142" i="19" s="1"/>
  <c r="A1143" i="19" s="1"/>
  <c r="A1144" i="19" s="1"/>
  <c r="A1145" i="19" s="1"/>
  <c r="A1146" i="19" s="1"/>
  <c r="A1147" i="19" s="1"/>
  <c r="A1148" i="19" s="1"/>
  <c r="A1149" i="19" s="1"/>
  <c r="A1150" i="19" s="1"/>
  <c r="A1151" i="19" s="1"/>
  <c r="A1152" i="19" s="1"/>
  <c r="A1153" i="19" s="1"/>
  <c r="A1154" i="19" s="1"/>
  <c r="A1155" i="19" s="1"/>
  <c r="A1156" i="19" s="1"/>
  <c r="A1157" i="19" s="1"/>
  <c r="A1158" i="19" s="1"/>
  <c r="A1159" i="19" s="1"/>
  <c r="A1160" i="19" s="1"/>
  <c r="A1161" i="19" s="1"/>
  <c r="A1162" i="19" s="1"/>
  <c r="A1163" i="19" s="1"/>
  <c r="A1164" i="19" s="1"/>
  <c r="A1165" i="19" s="1"/>
  <c r="A1166" i="19" s="1"/>
  <c r="A1167" i="19" s="1"/>
  <c r="A1168" i="19" s="1"/>
  <c r="A1169" i="19" s="1"/>
  <c r="A1170" i="19" s="1"/>
  <c r="A1171" i="19" s="1"/>
  <c r="A1172" i="19" s="1"/>
  <c r="A1173" i="19" s="1"/>
  <c r="A1174" i="19" s="1"/>
  <c r="A1175" i="19" s="1"/>
  <c r="A1176" i="19" s="1"/>
  <c r="A1177" i="19" s="1"/>
  <c r="A1178" i="19" s="1"/>
  <c r="A1179" i="19" s="1"/>
  <c r="A1180" i="19" s="1"/>
  <c r="A1181" i="19" s="1"/>
  <c r="A1182" i="19" s="1"/>
  <c r="A1183" i="19" s="1"/>
  <c r="A1184" i="19" s="1"/>
  <c r="A1185" i="19" s="1"/>
  <c r="A1186" i="19" s="1"/>
  <c r="A1187" i="19" s="1"/>
  <c r="A1188" i="19" s="1"/>
  <c r="A1189" i="19" s="1"/>
  <c r="A1190" i="19" s="1"/>
  <c r="A1191" i="19" s="1"/>
  <c r="A1192" i="19" s="1"/>
  <c r="A1193" i="19" s="1"/>
  <c r="A1194" i="19" s="1"/>
  <c r="A1195" i="19" s="1"/>
  <c r="A1196" i="19" s="1"/>
  <c r="A1197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A365" i="18" s="1"/>
  <c r="A366" i="18" s="1"/>
  <c r="A367" i="18" s="1"/>
  <c r="A368" i="18" s="1"/>
  <c r="A369" i="18" s="1"/>
  <c r="A370" i="18" s="1"/>
  <c r="A371" i="18" s="1"/>
  <c r="A372" i="18" s="1"/>
  <c r="A373" i="18" s="1"/>
  <c r="A374" i="18" s="1"/>
  <c r="A375" i="18" s="1"/>
  <c r="A376" i="18" s="1"/>
  <c r="A377" i="18" s="1"/>
  <c r="A378" i="18" s="1"/>
  <c r="A379" i="18" s="1"/>
  <c r="A380" i="18" s="1"/>
  <c r="A381" i="18" s="1"/>
  <c r="A382" i="18" s="1"/>
  <c r="A383" i="18" s="1"/>
  <c r="A384" i="18" s="1"/>
  <c r="A385" i="18" s="1"/>
  <c r="A386" i="18" s="1"/>
  <c r="A387" i="18" s="1"/>
  <c r="A388" i="18" s="1"/>
  <c r="A389" i="18" s="1"/>
  <c r="A390" i="18" s="1"/>
  <c r="A391" i="18" s="1"/>
  <c r="A392" i="18" s="1"/>
  <c r="A393" i="18" s="1"/>
  <c r="A394" i="18" s="1"/>
  <c r="A395" i="18" s="1"/>
  <c r="A396" i="18" s="1"/>
  <c r="A397" i="18" s="1"/>
  <c r="A398" i="18" s="1"/>
  <c r="A399" i="18" s="1"/>
  <c r="A400" i="18" s="1"/>
  <c r="A401" i="18" s="1"/>
  <c r="I2" i="20"/>
  <c r="I6" i="20"/>
  <c r="I10" i="20"/>
  <c r="I14" i="20"/>
  <c r="H5" i="20"/>
  <c r="H9" i="20"/>
  <c r="H13" i="20"/>
  <c r="I3" i="20"/>
  <c r="I7" i="20"/>
  <c r="I11" i="20"/>
  <c r="H2" i="20"/>
  <c r="H6" i="20"/>
  <c r="H10" i="20"/>
  <c r="H14" i="20"/>
  <c r="I4" i="20"/>
  <c r="I8" i="20"/>
  <c r="I12" i="20"/>
  <c r="H3" i="20"/>
  <c r="H7" i="20"/>
  <c r="H11" i="20"/>
  <c r="I5" i="20"/>
  <c r="I9" i="20"/>
  <c r="I13" i="20"/>
  <c r="H4" i="20"/>
  <c r="H8" i="20"/>
  <c r="H12" i="20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I252" i="19"/>
  <c r="H637" i="19"/>
  <c r="I208" i="19"/>
  <c r="I114" i="19"/>
  <c r="I896" i="19"/>
  <c r="H865" i="19"/>
  <c r="I894" i="19"/>
  <c r="H313" i="19"/>
  <c r="I636" i="19"/>
  <c r="H642" i="19"/>
  <c r="I357" i="19"/>
  <c r="I611" i="19"/>
  <c r="H19" i="19"/>
  <c r="I785" i="19"/>
  <c r="H348" i="19"/>
  <c r="I792" i="19"/>
  <c r="H677" i="19"/>
  <c r="I361" i="19"/>
  <c r="H47" i="19"/>
  <c r="H113" i="19"/>
  <c r="I523" i="19"/>
  <c r="I774" i="19"/>
  <c r="H354" i="19"/>
  <c r="I687" i="19"/>
  <c r="I246" i="19"/>
  <c r="H91" i="19"/>
  <c r="H379" i="19"/>
  <c r="H118" i="19"/>
  <c r="I379" i="19"/>
  <c r="H764" i="19"/>
  <c r="I434" i="19"/>
  <c r="I43" i="19"/>
  <c r="H900" i="19"/>
  <c r="I205" i="19"/>
  <c r="H722" i="19"/>
  <c r="H507" i="19"/>
  <c r="H660" i="19"/>
  <c r="H304" i="19"/>
  <c r="H241" i="19"/>
  <c r="I671" i="19"/>
  <c r="H141" i="19"/>
  <c r="H389" i="19"/>
  <c r="H735" i="19"/>
  <c r="I726" i="19"/>
  <c r="I106" i="19"/>
  <c r="I285" i="19"/>
  <c r="I78" i="19"/>
  <c r="H906" i="19"/>
  <c r="I857" i="19"/>
  <c r="I164" i="19"/>
  <c r="I23" i="19"/>
  <c r="H77" i="19"/>
  <c r="I682" i="19"/>
  <c r="H823" i="19"/>
  <c r="I468" i="19"/>
  <c r="H692" i="19"/>
  <c r="I207" i="19"/>
  <c r="I180" i="19"/>
  <c r="I718" i="19"/>
  <c r="H412" i="19"/>
  <c r="I501" i="19"/>
  <c r="I766" i="19"/>
  <c r="I349" i="19"/>
  <c r="H627" i="19"/>
  <c r="I572" i="19"/>
  <c r="H522" i="19"/>
  <c r="H101" i="19"/>
  <c r="I472" i="19"/>
  <c r="H128" i="19"/>
  <c r="I828" i="19"/>
  <c r="H680" i="19"/>
  <c r="H461" i="19"/>
  <c r="H646" i="19"/>
  <c r="H657" i="19"/>
  <c r="I365" i="19"/>
  <c r="H793" i="19"/>
  <c r="H224" i="19"/>
  <c r="H676" i="19"/>
  <c r="I516" i="19"/>
  <c r="H816" i="19"/>
  <c r="I158" i="19"/>
  <c r="I751" i="19"/>
  <c r="I742" i="19"/>
  <c r="I583" i="19"/>
  <c r="H85" i="19"/>
  <c r="H777" i="19"/>
  <c r="I25" i="19"/>
  <c r="I186" i="19"/>
  <c r="I315" i="19"/>
  <c r="H904" i="19"/>
  <c r="I193" i="19"/>
  <c r="I463" i="19"/>
  <c r="H221" i="19"/>
  <c r="I356" i="19"/>
  <c r="I321" i="19"/>
  <c r="H173" i="19"/>
  <c r="I839" i="19"/>
  <c r="H66" i="19"/>
  <c r="I217" i="19"/>
  <c r="I706" i="19"/>
  <c r="H656" i="19"/>
  <c r="H572" i="19"/>
  <c r="I386" i="19"/>
  <c r="H590" i="19"/>
  <c r="I900" i="19"/>
  <c r="H783" i="19"/>
  <c r="I416" i="19"/>
  <c r="H490" i="19"/>
  <c r="H812" i="19"/>
  <c r="I490" i="19"/>
  <c r="I53" i="19"/>
  <c r="I890" i="19"/>
  <c r="I82" i="19"/>
  <c r="I232" i="19"/>
  <c r="I187" i="19"/>
  <c r="H573" i="19"/>
  <c r="H268" i="19"/>
  <c r="H289" i="19"/>
  <c r="I378" i="19"/>
  <c r="I192" i="19"/>
  <c r="I674" i="19"/>
  <c r="H163" i="19"/>
  <c r="H915" i="19"/>
  <c r="I345" i="19"/>
  <c r="H693" i="19"/>
  <c r="I832" i="19"/>
  <c r="I397" i="19"/>
  <c r="H730" i="19"/>
  <c r="H110" i="19"/>
  <c r="H396" i="19"/>
  <c r="I165" i="19"/>
  <c r="I546" i="19"/>
  <c r="H192" i="19"/>
  <c r="I613" i="19"/>
  <c r="H146" i="19"/>
  <c r="I59" i="19"/>
  <c r="I888" i="19"/>
  <c r="H456" i="19"/>
  <c r="I550" i="19"/>
  <c r="H164" i="19"/>
  <c r="I22" i="19"/>
  <c r="H758" i="19"/>
  <c r="H612" i="19"/>
  <c r="I107" i="19"/>
  <c r="H498" i="19"/>
  <c r="H423" i="19"/>
  <c r="I414" i="19"/>
  <c r="I663" i="19"/>
  <c r="I840" i="19"/>
  <c r="I494" i="19"/>
  <c r="H20" i="19"/>
  <c r="H534" i="19"/>
  <c r="I61" i="19"/>
  <c r="H616" i="19"/>
  <c r="H452" i="19"/>
  <c r="I681" i="19"/>
  <c r="I670" i="19"/>
  <c r="H566" i="19"/>
  <c r="H259" i="19"/>
  <c r="I292" i="19"/>
  <c r="H647" i="19"/>
  <c r="H476" i="19"/>
  <c r="H603" i="19"/>
  <c r="I97" i="19"/>
  <c r="H212" i="19"/>
  <c r="I233" i="19"/>
  <c r="H34" i="19"/>
  <c r="H843" i="19"/>
  <c r="I783" i="19"/>
  <c r="H29" i="19"/>
  <c r="I737" i="19"/>
  <c r="H422" i="19"/>
  <c r="H527" i="19"/>
  <c r="I316" i="19"/>
  <c r="H318" i="19"/>
  <c r="H721" i="19"/>
  <c r="I700" i="19"/>
  <c r="H366" i="19"/>
  <c r="I895" i="19"/>
  <c r="I869" i="19"/>
  <c r="I614" i="19"/>
  <c r="I309" i="19"/>
  <c r="I382" i="19"/>
  <c r="I311" i="19"/>
  <c r="H80" i="19"/>
  <c r="I196" i="19"/>
  <c r="I330" i="19"/>
  <c r="I498" i="19"/>
  <c r="H881" i="19"/>
  <c r="I506" i="19"/>
  <c r="H629" i="19"/>
  <c r="H100" i="19"/>
  <c r="H920" i="19"/>
  <c r="I759" i="19"/>
  <c r="I134" i="19"/>
  <c r="I171" i="19"/>
  <c r="H751" i="19"/>
  <c r="H882" i="19"/>
  <c r="H474" i="19"/>
  <c r="I654" i="19"/>
  <c r="I240" i="19"/>
  <c r="H462" i="19"/>
  <c r="H631" i="19"/>
  <c r="I457" i="19"/>
  <c r="I256" i="19"/>
  <c r="H448" i="19"/>
  <c r="H801" i="19"/>
  <c r="H925" i="19"/>
  <c r="I302" i="19"/>
  <c r="I466" i="19"/>
  <c r="I648" i="19"/>
  <c r="H621" i="19"/>
  <c r="H416" i="19"/>
  <c r="H916" i="19"/>
  <c r="I247" i="19"/>
  <c r="I566" i="19"/>
  <c r="H84" i="19"/>
  <c r="H320" i="19"/>
  <c r="I36" i="19"/>
  <c r="H334" i="19"/>
  <c r="H465" i="19"/>
  <c r="H98" i="19"/>
  <c r="I862" i="19"/>
  <c r="I644" i="19"/>
  <c r="H872" i="19"/>
  <c r="I865" i="19"/>
  <c r="I679" i="19"/>
  <c r="H447" i="19"/>
  <c r="I76" i="19"/>
  <c r="I528" i="19"/>
  <c r="I64" i="19"/>
  <c r="I699" i="19"/>
  <c r="H293" i="19"/>
  <c r="H130" i="19"/>
  <c r="I354" i="19"/>
  <c r="I407" i="19"/>
  <c r="H624" i="19"/>
  <c r="H69" i="19"/>
  <c r="H240" i="19"/>
  <c r="I409" i="19"/>
  <c r="I142" i="19"/>
  <c r="H368" i="19"/>
  <c r="I289" i="19"/>
  <c r="I519" i="19"/>
  <c r="H145" i="19"/>
  <c r="I75" i="19"/>
  <c r="I37" i="19"/>
  <c r="I558" i="19"/>
  <c r="I753" i="19"/>
  <c r="I604" i="19"/>
  <c r="I16" i="19"/>
  <c r="H724" i="19"/>
  <c r="H841" i="19"/>
  <c r="I827" i="19"/>
  <c r="I717" i="19"/>
  <c r="H290" i="19"/>
  <c r="H818" i="19"/>
  <c r="I579" i="19"/>
  <c r="I241" i="19"/>
  <c r="I280" i="19"/>
  <c r="I517" i="19"/>
  <c r="H167" i="19"/>
  <c r="H139" i="19"/>
  <c r="H459" i="19"/>
  <c r="I9" i="19"/>
  <c r="I634" i="19"/>
  <c r="I448" i="19"/>
  <c r="I627" i="19"/>
  <c r="I439" i="19"/>
  <c r="H661" i="19"/>
  <c r="H199" i="19"/>
  <c r="H682" i="19"/>
  <c r="I764" i="19"/>
  <c r="I404" i="19"/>
  <c r="I918" i="19"/>
  <c r="I622" i="19"/>
  <c r="H152" i="19"/>
  <c r="I610" i="19"/>
  <c r="I368" i="19"/>
  <c r="I369" i="19"/>
  <c r="H271" i="19"/>
  <c r="I225" i="19"/>
  <c r="I476" i="19"/>
  <c r="H750" i="19"/>
  <c r="H518" i="19"/>
  <c r="I879" i="19"/>
  <c r="I791" i="19"/>
  <c r="H795" i="19"/>
  <c r="I834" i="19"/>
  <c r="I248" i="19"/>
  <c r="H369" i="19"/>
  <c r="H296" i="19"/>
  <c r="H404" i="19"/>
  <c r="I631" i="19"/>
  <c r="H409" i="19"/>
  <c r="I65" i="19"/>
  <c r="H739" i="19"/>
  <c r="H727" i="19"/>
  <c r="I405" i="19"/>
  <c r="H28" i="19"/>
  <c r="I201" i="19"/>
  <c r="I805" i="19"/>
  <c r="H779" i="19"/>
  <c r="H378" i="19"/>
  <c r="H75" i="19"/>
  <c r="I855" i="19"/>
  <c r="H529" i="19"/>
  <c r="H542" i="19"/>
  <c r="H521" i="19"/>
  <c r="I801" i="19"/>
  <c r="I724" i="19"/>
  <c r="H919" i="19"/>
  <c r="I509" i="19"/>
  <c r="H556" i="19"/>
  <c r="H570" i="19"/>
  <c r="I560" i="19"/>
  <c r="H202" i="19"/>
  <c r="I118" i="19"/>
  <c r="I775" i="19"/>
  <c r="I161" i="19"/>
  <c r="I93" i="19"/>
  <c r="H618" i="19"/>
  <c r="I652" i="19"/>
  <c r="H397" i="19"/>
  <c r="I907" i="19"/>
  <c r="I836" i="19"/>
  <c r="H820" i="19"/>
  <c r="I112" i="19"/>
  <c r="H471" i="19"/>
  <c r="I359" i="19"/>
  <c r="I651" i="19"/>
  <c r="I91" i="19"/>
  <c r="H42" i="19"/>
  <c r="I157" i="19"/>
  <c r="I56" i="19"/>
  <c r="H180" i="19"/>
  <c r="I585" i="19"/>
  <c r="I507" i="19"/>
  <c r="I13" i="19"/>
  <c r="I430" i="19"/>
  <c r="H341" i="19"/>
  <c r="H179" i="19"/>
  <c r="I618" i="19"/>
  <c r="I760" i="19"/>
  <c r="I770" i="19"/>
  <c r="H718" i="19"/>
  <c r="I593" i="19"/>
  <c r="I856" i="19"/>
  <c r="H595" i="19"/>
  <c r="H279" i="19"/>
  <c r="H896" i="19"/>
  <c r="I290" i="19"/>
  <c r="H159" i="19"/>
  <c r="H853" i="19"/>
  <c r="I518" i="19"/>
  <c r="I422" i="19"/>
  <c r="H114" i="19"/>
  <c r="H712" i="19"/>
  <c r="I219" i="19"/>
  <c r="I358" i="19"/>
  <c r="H508" i="19"/>
  <c r="H314" i="19"/>
  <c r="I348" i="19"/>
  <c r="H329" i="19"/>
  <c r="H129" i="19"/>
  <c r="H340" i="19"/>
  <c r="H208" i="19"/>
  <c r="I672" i="19"/>
  <c r="I136" i="19"/>
  <c r="I630" i="19"/>
  <c r="I496" i="19"/>
  <c r="H487" i="19"/>
  <c r="I213" i="19"/>
  <c r="I41" i="19"/>
  <c r="I659" i="19"/>
  <c r="H70" i="19"/>
  <c r="H46" i="19"/>
  <c r="H27" i="19"/>
  <c r="I870" i="19"/>
  <c r="H153" i="19"/>
  <c r="H672" i="19"/>
  <c r="I318" i="19"/>
  <c r="H196" i="19"/>
  <c r="I183" i="19"/>
  <c r="I695" i="19"/>
  <c r="H907" i="19"/>
  <c r="I299" i="19"/>
  <c r="H694" i="19"/>
  <c r="I24" i="19"/>
  <c r="I732" i="19"/>
  <c r="H787" i="19"/>
  <c r="I545" i="19"/>
  <c r="H652" i="19"/>
  <c r="H707" i="19"/>
  <c r="I860" i="19"/>
  <c r="H44" i="19"/>
  <c r="I665" i="19"/>
  <c r="I743" i="19"/>
  <c r="H821" i="19"/>
  <c r="H567" i="19"/>
  <c r="I312" i="19"/>
  <c r="H158" i="19"/>
  <c r="H89" i="19"/>
  <c r="I413" i="19"/>
  <c r="H666" i="19"/>
  <c r="H184" i="19"/>
  <c r="H83" i="19"/>
  <c r="H489" i="19"/>
  <c r="I649" i="19"/>
  <c r="H88" i="19"/>
  <c r="H205" i="19"/>
  <c r="H12" i="19"/>
  <c r="I10" i="19"/>
  <c r="I334" i="19"/>
  <c r="H614" i="19"/>
  <c r="I406" i="19"/>
  <c r="H654" i="19"/>
  <c r="I178" i="19"/>
  <c r="H253" i="19"/>
  <c r="H365" i="19"/>
  <c r="H344" i="19"/>
  <c r="H623" i="19"/>
  <c r="I711" i="19"/>
  <c r="H807" i="19"/>
  <c r="I310" i="19"/>
  <c r="I298" i="19"/>
  <c r="H2" i="19"/>
  <c r="I464" i="19"/>
  <c r="I209" i="19"/>
  <c r="H193" i="19"/>
  <c r="H630" i="19"/>
  <c r="H216" i="19"/>
  <c r="H236" i="19"/>
  <c r="H774" i="19"/>
  <c r="I231" i="19"/>
  <c r="I606" i="19"/>
  <c r="H274" i="19"/>
  <c r="H338" i="19"/>
  <c r="H162" i="19"/>
  <c r="I222" i="19"/>
  <c r="H443" i="19"/>
  <c r="I645" i="19"/>
  <c r="H242" i="19"/>
  <c r="H684" i="19"/>
  <c r="H709" i="19"/>
  <c r="H155" i="19"/>
  <c r="I329" i="19"/>
  <c r="I371" i="19"/>
  <c r="I607" i="19"/>
  <c r="I138" i="19"/>
  <c r="H560" i="19"/>
  <c r="I810" i="19"/>
  <c r="H592" i="19"/>
  <c r="I351" i="19"/>
  <c r="H408" i="19"/>
  <c r="I913" i="19"/>
  <c r="I88" i="19"/>
  <c r="I763" i="19"/>
  <c r="H112" i="19"/>
  <c r="I400" i="19"/>
  <c r="I754" i="19"/>
  <c r="H402" i="19"/>
  <c r="H768" i="19"/>
  <c r="H332" i="19"/>
  <c r="H536" i="19"/>
  <c r="I381" i="19"/>
  <c r="I833" i="19"/>
  <c r="I707" i="19"/>
  <c r="H306" i="19"/>
  <c r="I169" i="19"/>
  <c r="H107" i="19"/>
  <c r="I215" i="19"/>
  <c r="I635" i="19"/>
  <c r="I145" i="19"/>
  <c r="H103" i="19"/>
  <c r="H328" i="19"/>
  <c r="I917" i="19"/>
  <c r="H645" i="19"/>
  <c r="H185" i="19"/>
  <c r="H913" i="19"/>
  <c r="I42" i="19"/>
  <c r="I77" i="19"/>
  <c r="I590" i="19"/>
  <c r="I561" i="19"/>
  <c r="H729" i="19"/>
  <c r="H214" i="19"/>
  <c r="I420" i="19"/>
  <c r="I366" i="19"/>
  <c r="I34" i="19"/>
  <c r="H322" i="19"/>
  <c r="I71" i="19"/>
  <c r="H172" i="19"/>
  <c r="H705" i="19"/>
  <c r="I804" i="19"/>
  <c r="H243" i="19"/>
  <c r="H97" i="19"/>
  <c r="I117" i="19"/>
  <c r="I734" i="19"/>
  <c r="I526" i="19"/>
  <c r="I790" i="19"/>
  <c r="I873" i="19"/>
  <c r="I824" i="19"/>
  <c r="H606" i="19"/>
  <c r="H802" i="19"/>
  <c r="I350" i="19"/>
  <c r="I179" i="19"/>
  <c r="H309" i="19"/>
  <c r="I777" i="19"/>
  <c r="H418" i="19"/>
  <c r="I68" i="19"/>
  <c r="I249" i="19"/>
  <c r="H302" i="19"/>
  <c r="I11" i="19"/>
  <c r="I152" i="19"/>
  <c r="H671" i="19"/>
  <c r="H625" i="19"/>
  <c r="H549" i="19"/>
  <c r="I549" i="19"/>
  <c r="I666" i="19"/>
  <c r="I796" i="19"/>
  <c r="I21" i="19"/>
  <c r="I721" i="19"/>
  <c r="I462" i="19"/>
  <c r="I95" i="19"/>
  <c r="I277" i="19"/>
  <c r="H204" i="19"/>
  <c r="I592" i="19"/>
  <c r="I6" i="19"/>
  <c r="H871" i="19"/>
  <c r="H25" i="19"/>
  <c r="H678" i="19"/>
  <c r="I923" i="19"/>
  <c r="H814" i="19"/>
  <c r="I527" i="19"/>
  <c r="I846" i="19"/>
  <c r="I388" i="19"/>
  <c r="I575" i="19"/>
  <c r="H35" i="19"/>
  <c r="I39" i="19"/>
  <c r="H39" i="19"/>
  <c r="I5" i="19"/>
  <c r="I70" i="19"/>
  <c r="I629" i="19"/>
  <c r="H836" i="19"/>
  <c r="H537" i="19"/>
  <c r="I101" i="19"/>
  <c r="H861" i="19"/>
  <c r="H773" i="19"/>
  <c r="I841" i="19"/>
  <c r="I653" i="19"/>
  <c r="I779" i="19"/>
  <c r="H878" i="19"/>
  <c r="I124" i="19"/>
  <c r="H593" i="19"/>
  <c r="I657" i="19"/>
  <c r="H780" i="19"/>
  <c r="H53" i="19"/>
  <c r="H123" i="19"/>
  <c r="H51" i="19"/>
  <c r="H228" i="19"/>
  <c r="I489" i="19"/>
  <c r="H833" i="19"/>
  <c r="H18" i="19"/>
  <c r="I367" i="19"/>
  <c r="I602" i="19"/>
  <c r="H391" i="19"/>
  <c r="H63" i="19"/>
  <c r="H636" i="19"/>
  <c r="H911" i="19"/>
  <c r="I140" i="19"/>
  <c r="I874" i="19"/>
  <c r="I156" i="19"/>
  <c r="H770" i="19"/>
  <c r="I696" i="19"/>
  <c r="I521" i="19"/>
  <c r="I440" i="19"/>
  <c r="I159" i="19"/>
  <c r="H361" i="19"/>
  <c r="H278" i="19"/>
  <c r="H492" i="19"/>
  <c r="H704" i="19"/>
  <c r="H902" i="19"/>
  <c r="I3" i="19"/>
  <c r="H131" i="19"/>
  <c r="H662" i="19"/>
  <c r="I646" i="19"/>
  <c r="I7" i="19"/>
  <c r="H859" i="19"/>
  <c r="I803" i="19"/>
  <c r="I710" i="19"/>
  <c r="I150" i="19"/>
  <c r="I261" i="19"/>
  <c r="H831" i="19"/>
  <c r="I868" i="19"/>
  <c r="I235" i="19"/>
  <c r="H246" i="19"/>
  <c r="I278" i="19"/>
  <c r="I559" i="19"/>
  <c r="H819" i="19"/>
  <c r="H258" i="19"/>
  <c r="I740" i="19"/>
  <c r="H838" i="19"/>
  <c r="H445" i="19"/>
  <c r="H467" i="19"/>
  <c r="H564" i="19"/>
  <c r="I499" i="19"/>
  <c r="I216" i="19"/>
  <c r="H827" i="19"/>
  <c r="H482" i="19"/>
  <c r="H805" i="19"/>
  <c r="I920" i="19"/>
  <c r="I176" i="19"/>
  <c r="H308" i="19"/>
  <c r="H417" i="19"/>
  <c r="H108" i="19"/>
  <c r="H124" i="19"/>
  <c r="I460" i="19"/>
  <c r="I811" i="19"/>
  <c r="I871" i="19"/>
  <c r="H822" i="19"/>
  <c r="H663" i="19"/>
  <c r="H577" i="19"/>
  <c r="I469" i="19"/>
  <c r="I633" i="19"/>
  <c r="I337" i="19"/>
  <c r="I542" i="19"/>
  <c r="I723" i="19"/>
  <c r="H877" i="19"/>
  <c r="H708" i="19"/>
  <c r="H880" i="19"/>
  <c r="I352" i="19"/>
  <c r="I282" i="19"/>
  <c r="I755" i="19"/>
  <c r="H433" i="19"/>
  <c r="I234" i="19"/>
  <c r="H321" i="19"/>
  <c r="I678" i="19"/>
  <c r="I465" i="19"/>
  <c r="H891" i="19"/>
  <c r="H68" i="19"/>
  <c r="I254" i="19"/>
  <c r="H513" i="19"/>
  <c r="I284" i="19"/>
  <c r="H829" i="19"/>
  <c r="H450" i="19"/>
  <c r="H691" i="19"/>
  <c r="H740" i="19"/>
  <c r="I62" i="19"/>
  <c r="I74" i="19"/>
  <c r="H148" i="19"/>
  <c r="I160" i="19"/>
  <c r="I308" i="19"/>
  <c r="H844" i="19"/>
  <c r="H914" i="19"/>
  <c r="H189" i="19"/>
  <c r="H870" i="19"/>
  <c r="H73" i="19"/>
  <c r="H160" i="19"/>
  <c r="H866" i="19"/>
  <c r="I826" i="19"/>
  <c r="I461" i="19"/>
  <c r="I744" i="19"/>
  <c r="I287" i="19"/>
  <c r="H806" i="19"/>
  <c r="H72" i="19"/>
  <c r="I853" i="19"/>
  <c r="I797" i="19"/>
  <c r="I402" i="19"/>
  <c r="H615" i="19"/>
  <c r="I317" i="19"/>
  <c r="H854" i="19"/>
  <c r="I484" i="19"/>
  <c r="H668" i="19"/>
  <c r="I442" i="19"/>
  <c r="H387" i="19"/>
  <c r="H78" i="19"/>
  <c r="I761" i="19"/>
  <c r="I877" i="19"/>
  <c r="I487" i="19"/>
  <c r="I60" i="19"/>
  <c r="I881" i="19"/>
  <c r="H190" i="19"/>
  <c r="I684" i="19"/>
  <c r="I589" i="19"/>
  <c r="H5" i="19"/>
  <c r="I544" i="19"/>
  <c r="I727" i="19"/>
  <c r="H849" i="19"/>
  <c r="H357" i="19"/>
  <c r="H728" i="19"/>
  <c r="H851" i="19"/>
  <c r="H857" i="19"/>
  <c r="I342" i="19"/>
  <c r="I268" i="19"/>
  <c r="H696" i="19"/>
  <c r="H360" i="19"/>
  <c r="I584" i="19"/>
  <c r="I102" i="19"/>
  <c r="H580" i="19"/>
  <c r="I28" i="19"/>
  <c r="H254" i="19"/>
  <c r="H575" i="19"/>
  <c r="I113" i="19"/>
  <c r="I480" i="19"/>
  <c r="H784" i="19"/>
  <c r="H381" i="19"/>
  <c r="H335" i="19"/>
  <c r="I154" i="19"/>
  <c r="H810" i="19"/>
  <c r="H62" i="19"/>
  <c r="H842" i="19"/>
  <c r="H250" i="19"/>
  <c r="H761" i="19"/>
  <c r="I58" i="19"/>
  <c r="H493" i="19"/>
  <c r="H67" i="19"/>
  <c r="H255" i="19"/>
  <c r="H651" i="19"/>
  <c r="H874" i="19"/>
  <c r="I819" i="19"/>
  <c r="H559" i="19"/>
  <c r="I438" i="19"/>
  <c r="I594" i="19"/>
  <c r="I771" i="19"/>
  <c r="H222" i="19"/>
  <c r="I822" i="19"/>
  <c r="I643" i="19"/>
  <c r="H828" i="19"/>
  <c r="H287" i="19"/>
  <c r="H140" i="19"/>
  <c r="I444" i="19"/>
  <c r="H333" i="19"/>
  <c r="I304" i="19"/>
  <c r="H754" i="19"/>
  <c r="H799" i="19"/>
  <c r="H275" i="19"/>
  <c r="H350" i="19"/>
  <c r="H385" i="19"/>
  <c r="H772" i="19"/>
  <c r="I758" i="19"/>
  <c r="I305" i="19"/>
  <c r="H775" i="19"/>
  <c r="H538" i="19"/>
  <c r="I813" i="19"/>
  <c r="I568" i="19"/>
  <c r="I189" i="19"/>
  <c r="I227" i="19"/>
  <c r="I599" i="19"/>
  <c r="H755" i="19"/>
  <c r="I131" i="19"/>
  <c r="H798" i="19"/>
  <c r="H325" i="19"/>
  <c r="H715" i="19"/>
  <c r="H540" i="19"/>
  <c r="H454" i="19"/>
  <c r="H488" i="19"/>
  <c r="H301" i="19"/>
  <c r="H324" i="19"/>
  <c r="H782" i="19"/>
  <c r="I194" i="19"/>
  <c r="I126" i="19"/>
  <c r="I522" i="19"/>
  <c r="H26" i="19"/>
  <c r="I226" i="19"/>
  <c r="I199" i="19"/>
  <c r="I347" i="19"/>
  <c r="H901" i="19"/>
  <c r="I470" i="19"/>
  <c r="H265" i="19"/>
  <c r="H455" i="19"/>
  <c r="I303" i="19"/>
  <c r="I262" i="19"/>
  <c r="I529" i="19"/>
  <c r="H581" i="19"/>
  <c r="H165" i="19"/>
  <c r="I389" i="19"/>
  <c r="I904" i="19"/>
  <c r="H596" i="19"/>
  <c r="H464" i="19"/>
  <c r="I749" i="19"/>
  <c r="H376" i="19"/>
  <c r="H283" i="19"/>
  <c r="I190" i="19"/>
  <c r="I638" i="19"/>
  <c r="I731" i="19"/>
  <c r="H747" i="19"/>
  <c r="H601" i="19"/>
  <c r="I789" i="19"/>
  <c r="H393" i="19"/>
  <c r="H551" i="19"/>
  <c r="H670" i="19"/>
  <c r="I842" i="19"/>
  <c r="I637" i="19"/>
  <c r="H93" i="19"/>
  <c r="I641" i="19"/>
  <c r="H386" i="19"/>
  <c r="I859" i="19"/>
  <c r="I474" i="19"/>
  <c r="I667" i="19"/>
  <c r="H194" i="19"/>
  <c r="I816" i="19"/>
  <c r="I94" i="19"/>
  <c r="H86" i="19"/>
  <c r="I782" i="19"/>
  <c r="H186" i="19"/>
  <c r="I110" i="19"/>
  <c r="I823" i="19"/>
  <c r="H473" i="19"/>
  <c r="H903" i="19"/>
  <c r="H294" i="19"/>
  <c r="H351" i="19"/>
  <c r="H137" i="19"/>
  <c r="H217" i="19"/>
  <c r="I809" i="19"/>
  <c r="I538" i="19"/>
  <c r="H191" i="19"/>
  <c r="I377" i="19"/>
  <c r="H76" i="19"/>
  <c r="I188" i="19"/>
  <c r="H598" i="19"/>
  <c r="I147" i="19"/>
  <c r="I383" i="19"/>
  <c r="I848" i="19"/>
  <c r="H731" i="19"/>
  <c r="H910" i="19"/>
  <c r="I174" i="19"/>
  <c r="H14" i="19"/>
  <c r="H230" i="19"/>
  <c r="I482" i="19"/>
  <c r="I632" i="19"/>
  <c r="H597" i="19"/>
  <c r="H734" i="19"/>
  <c r="H181" i="19"/>
  <c r="I191" i="19"/>
  <c r="I425" i="19"/>
  <c r="I849" i="19"/>
  <c r="I424" i="19"/>
  <c r="H45" i="19"/>
  <c r="I313" i="19"/>
  <c r="I820" i="19"/>
  <c r="I128" i="19"/>
  <c r="H594" i="19"/>
  <c r="H689" i="19"/>
  <c r="H50" i="19"/>
  <c r="I773" i="19"/>
  <c r="I586" i="19"/>
  <c r="H855" i="19"/>
  <c r="I473" i="19"/>
  <c r="H895" i="19"/>
  <c r="I703" i="19"/>
  <c r="I162" i="19"/>
  <c r="I543" i="19"/>
  <c r="H926" i="19"/>
  <c r="H688" i="19"/>
  <c r="H176" i="19"/>
  <c r="I300" i="19"/>
  <c r="I795" i="19"/>
  <c r="I530" i="19"/>
  <c r="H486" i="19"/>
  <c r="H753" i="19"/>
  <c r="I520" i="19"/>
  <c r="H665" i="19"/>
  <c r="H244" i="19"/>
  <c r="I376" i="19"/>
  <c r="I624" i="19"/>
  <c r="I535" i="19"/>
  <c r="I271" i="19"/>
  <c r="H182" i="19"/>
  <c r="I372" i="19"/>
  <c r="H514" i="19"/>
  <c r="I702" i="19"/>
  <c r="I266" i="19"/>
  <c r="H700" i="19"/>
  <c r="I293" i="19"/>
  <c r="I31" i="19"/>
  <c r="I875" i="19"/>
  <c r="I458" i="19"/>
  <c r="I79" i="19"/>
  <c r="H359" i="19"/>
  <c r="I115" i="19"/>
  <c r="H300" i="19"/>
  <c r="H266" i="19"/>
  <c r="H710" i="19"/>
  <c r="I533" i="19"/>
  <c r="I339" i="19"/>
  <c r="I436" i="19"/>
  <c r="I148" i="19"/>
  <c r="H282" i="19"/>
  <c r="H839" i="19"/>
  <c r="I423" i="19"/>
  <c r="I798" i="19"/>
  <c r="I889" i="19"/>
  <c r="I729" i="19"/>
  <c r="I620" i="19"/>
  <c r="I829" i="19"/>
  <c r="H568" i="19"/>
  <c r="I556" i="19"/>
  <c r="I108" i="19"/>
  <c r="H288" i="19"/>
  <c r="H591" i="19"/>
  <c r="H286" i="19"/>
  <c r="H90" i="19"/>
  <c r="H207" i="19"/>
  <c r="H643" i="19"/>
  <c r="I411" i="19"/>
  <c r="H406" i="19"/>
  <c r="I132" i="19"/>
  <c r="H561" i="19"/>
  <c r="I748" i="19"/>
  <c r="I375" i="19"/>
  <c r="H442" i="19"/>
  <c r="I806" i="19"/>
  <c r="I314" i="19"/>
  <c r="H149" i="19"/>
  <c r="I728" i="19"/>
  <c r="I206" i="19"/>
  <c r="H111" i="19"/>
  <c r="H177" i="19"/>
  <c r="H43" i="19"/>
  <c r="I437" i="19"/>
  <c r="I137" i="19"/>
  <c r="H719" i="19"/>
  <c r="I786" i="19"/>
  <c r="I173" i="19"/>
  <c r="H434" i="19"/>
  <c r="H94" i="19"/>
  <c r="H175" i="19"/>
  <c r="I843" i="19"/>
  <c r="H524" i="19"/>
  <c r="H650" i="19"/>
  <c r="H337" i="19"/>
  <c r="I709" i="19"/>
  <c r="I491" i="19"/>
  <c r="I182" i="19"/>
  <c r="I121" i="19"/>
  <c r="H188" i="19"/>
  <c r="H33" i="19"/>
  <c r="H400" i="19"/>
  <c r="I815" i="19"/>
  <c r="I922" i="19"/>
  <c r="H887" i="19"/>
  <c r="I625" i="19"/>
  <c r="I449" i="19"/>
  <c r="I322" i="19"/>
  <c r="H544" i="19"/>
  <c r="H410" i="19"/>
  <c r="I270" i="19"/>
  <c r="H511" i="19"/>
  <c r="H395" i="19"/>
  <c r="I446" i="19"/>
  <c r="H767" i="19"/>
  <c r="H469" i="19"/>
  <c r="I514" i="19"/>
  <c r="H426" i="19"/>
  <c r="H875" i="19"/>
  <c r="I481" i="19"/>
  <c r="H562" i="19"/>
  <c r="I891" i="19"/>
  <c r="H702" i="19"/>
  <c r="I605" i="19"/>
  <c r="H558" i="19"/>
  <c r="H585" i="19"/>
  <c r="H364" i="19"/>
  <c r="I776" i="19"/>
  <c r="H346" i="19"/>
  <c r="I662" i="19"/>
  <c r="I750" i="19"/>
  <c r="I275" i="19"/>
  <c r="H372" i="19"/>
  <c r="H323" i="19"/>
  <c r="H673" i="19"/>
  <c r="I757" i="19"/>
  <c r="H495" i="19"/>
  <c r="I331" i="19"/>
  <c r="H543" i="19"/>
  <c r="H116" i="19"/>
  <c r="H331" i="19"/>
  <c r="H873" i="19"/>
  <c r="I597" i="19"/>
  <c r="H327" i="19"/>
  <c r="H38" i="19"/>
  <c r="H54" i="19"/>
  <c r="I680" i="19"/>
  <c r="H183" i="19"/>
  <c r="I715" i="19"/>
  <c r="I756" i="19"/>
  <c r="H610" i="19"/>
  <c r="H195" i="19"/>
  <c r="I54" i="19"/>
  <c r="H237" i="19"/>
  <c r="H695" i="19"/>
  <c r="H659" i="19"/>
  <c r="I44" i="19"/>
  <c r="H520" i="19"/>
  <c r="H501" i="19"/>
  <c r="H876" i="19"/>
  <c r="I417" i="19"/>
  <c r="I18" i="19"/>
  <c r="I197" i="19"/>
  <c r="H781" i="19"/>
  <c r="I467" i="19"/>
  <c r="I144" i="19"/>
  <c r="I220" i="19"/>
  <c r="H403" i="19"/>
  <c r="I294" i="19"/>
  <c r="I587" i="19"/>
  <c r="I504" i="19"/>
  <c r="I852" i="19"/>
  <c r="I690" i="19"/>
  <c r="I691" i="19"/>
  <c r="H744" i="19"/>
  <c r="I569" i="19"/>
  <c r="H746" i="19"/>
  <c r="I49" i="19"/>
  <c r="I916" i="19"/>
  <c r="H496" i="19"/>
  <c r="H494" i="19"/>
  <c r="H826" i="19"/>
  <c r="I502" i="19"/>
  <c r="I385" i="19"/>
  <c r="H356" i="19"/>
  <c r="I29" i="19"/>
  <c r="H547" i="19"/>
  <c r="I838" i="19"/>
  <c r="H856" i="19"/>
  <c r="I19" i="19"/>
  <c r="H869" i="19"/>
  <c r="H234" i="19"/>
  <c r="I175" i="19"/>
  <c r="H899" i="19"/>
  <c r="H312" i="19"/>
  <c r="H649" i="19"/>
  <c r="H15" i="19"/>
  <c r="H703" i="19"/>
  <c r="I608" i="19"/>
  <c r="I532" i="19"/>
  <c r="I129" i="19"/>
  <c r="H213" i="19"/>
  <c r="H675" i="19"/>
  <c r="H886" i="19"/>
  <c r="H132" i="19"/>
  <c r="I477" i="19"/>
  <c r="I617" i="19"/>
  <c r="H868" i="19"/>
  <c r="I333" i="19"/>
  <c r="H466" i="19"/>
  <c r="H530" i="19"/>
  <c r="I401" i="19"/>
  <c r="H339" i="19"/>
  <c r="H669" i="19"/>
  <c r="H267" i="19"/>
  <c r="I867" i="19"/>
  <c r="I83" i="19"/>
  <c r="H555" i="19"/>
  <c r="I821" i="19"/>
  <c r="H200" i="19"/>
  <c r="I887" i="19"/>
  <c r="I279" i="19"/>
  <c r="I817" i="19"/>
  <c r="H30" i="19"/>
  <c r="H144" i="19"/>
  <c r="H716" i="19"/>
  <c r="H607" i="19"/>
  <c r="H790" i="19"/>
  <c r="H383" i="19"/>
  <c r="H586" i="19"/>
  <c r="H206" i="19"/>
  <c r="H95" i="19"/>
  <c r="I818" i="19"/>
  <c r="H633" i="19"/>
  <c r="I837" i="19"/>
  <c r="H888" i="19"/>
  <c r="I116" i="19"/>
  <c r="I485" i="19"/>
  <c r="I55" i="19"/>
  <c r="H256" i="19"/>
  <c r="I668" i="19"/>
  <c r="H641" i="19"/>
  <c r="I807" i="19"/>
  <c r="H791" i="19"/>
  <c r="I163" i="19"/>
  <c r="H576" i="19"/>
  <c r="H837" i="19"/>
  <c r="I237" i="19"/>
  <c r="I346" i="19"/>
  <c r="H119" i="19"/>
  <c r="I100" i="19"/>
  <c r="H720" i="19"/>
  <c r="H298" i="19"/>
  <c r="I390" i="19"/>
  <c r="I845" i="19"/>
  <c r="H898" i="19"/>
  <c r="H552" i="19"/>
  <c r="H248" i="19"/>
  <c r="I143" i="19"/>
  <c r="H273" i="19"/>
  <c r="H609" i="19"/>
  <c r="H375" i="19"/>
  <c r="H785" i="19"/>
  <c r="H756" i="19"/>
  <c r="H884" i="19"/>
  <c r="H161" i="19"/>
  <c r="H638" i="19"/>
  <c r="H223" i="19"/>
  <c r="I125" i="19"/>
  <c r="I787" i="19"/>
  <c r="H824" i="19"/>
  <c r="I267" i="19"/>
  <c r="I765" i="19"/>
  <c r="H504" i="19"/>
  <c r="H475" i="19"/>
  <c r="I769" i="19"/>
  <c r="H778" i="19"/>
  <c r="I831" i="19"/>
  <c r="I548" i="19"/>
  <c r="I155" i="19"/>
  <c r="I387" i="19"/>
  <c r="H788" i="19"/>
  <c r="I224" i="19"/>
  <c r="H102" i="19"/>
  <c r="H909" i="19"/>
  <c r="H79" i="19"/>
  <c r="H218" i="19"/>
  <c r="H373" i="19"/>
  <c r="I214" i="19"/>
  <c r="H24" i="19"/>
  <c r="I863" i="19"/>
  <c r="I135" i="19"/>
  <c r="H307" i="19"/>
  <c r="I46" i="19"/>
  <c r="H104" i="19"/>
  <c r="I200" i="19"/>
  <c r="H497" i="19"/>
  <c r="H541" i="19"/>
  <c r="I553" i="19"/>
  <c r="H257" i="19"/>
  <c r="I283" i="19"/>
  <c r="H893" i="19"/>
  <c r="H82" i="19"/>
  <c r="I880" i="19"/>
  <c r="H569" i="19"/>
  <c r="H415" i="19"/>
  <c r="I609" i="19"/>
  <c r="H748" i="19"/>
  <c r="H49" i="19"/>
  <c r="H225" i="19"/>
  <c r="H762" i="19"/>
  <c r="H765" i="19"/>
  <c r="H126" i="19"/>
  <c r="H120" i="19"/>
  <c r="H154" i="19"/>
  <c r="I26" i="19"/>
  <c r="H815" i="19"/>
  <c r="H151" i="19"/>
  <c r="H59" i="19"/>
  <c r="I914" i="19"/>
  <c r="I211" i="19"/>
  <c r="I69" i="19"/>
  <c r="I598" i="19"/>
  <c r="I541" i="19"/>
  <c r="H430" i="19"/>
  <c r="H92" i="19"/>
  <c r="H548" i="19"/>
  <c r="I360" i="19"/>
  <c r="I149" i="19"/>
  <c r="H343" i="19"/>
  <c r="H421" i="19"/>
  <c r="I184" i="19"/>
  <c r="H535" i="19"/>
  <c r="I746" i="19"/>
  <c r="H7" i="19"/>
  <c r="H484" i="19"/>
  <c r="H658" i="19"/>
  <c r="I340" i="19"/>
  <c r="H477" i="19"/>
  <c r="I488" i="19"/>
  <c r="I612" i="19"/>
  <c r="H280" i="19"/>
  <c r="H197" i="19"/>
  <c r="H444" i="19"/>
  <c r="H227" i="19"/>
  <c r="I412" i="19"/>
  <c r="I84" i="19"/>
  <c r="I229" i="19"/>
  <c r="I255" i="19"/>
  <c r="H342" i="19"/>
  <c r="I850" i="19"/>
  <c r="H316" i="19"/>
  <c r="H908" i="19"/>
  <c r="H797" i="19"/>
  <c r="I555" i="19"/>
  <c r="I435" i="19"/>
  <c r="I87" i="19"/>
  <c r="H117" i="19"/>
  <c r="H74" i="19"/>
  <c r="I139" i="19"/>
  <c r="H370" i="19"/>
  <c r="I650" i="19"/>
  <c r="H500" i="19"/>
  <c r="I8" i="19"/>
  <c r="I745" i="19"/>
  <c r="H277" i="19"/>
  <c r="I454" i="19"/>
  <c r="H578" i="19"/>
  <c r="H617" i="19"/>
  <c r="I767" i="19"/>
  <c r="I591" i="19"/>
  <c r="I459" i="19"/>
  <c r="H499" i="19"/>
  <c r="H109" i="19"/>
  <c r="H894" i="19"/>
  <c r="I701" i="19"/>
  <c r="I336" i="19"/>
  <c r="H905" i="19"/>
  <c r="H347" i="19"/>
  <c r="I574" i="19"/>
  <c r="I581" i="19"/>
  <c r="H362" i="19"/>
  <c r="H419" i="19"/>
  <c r="I656" i="19"/>
  <c r="I577" i="19"/>
  <c r="I573" i="19"/>
  <c r="H483" i="19"/>
  <c r="H392" i="19"/>
  <c r="I12" i="19"/>
  <c r="I628" i="19"/>
  <c r="H358" i="19"/>
  <c r="I878" i="19"/>
  <c r="H600" i="19"/>
  <c r="I153" i="19"/>
  <c r="I778" i="19"/>
  <c r="H4" i="19"/>
  <c r="H115" i="19"/>
  <c r="I456" i="19"/>
  <c r="H238" i="19"/>
  <c r="I364" i="19"/>
  <c r="I380" i="19"/>
  <c r="I429" i="19"/>
  <c r="H105" i="19"/>
  <c r="H533" i="19"/>
  <c r="I736" i="19"/>
  <c r="I332" i="19"/>
  <c r="I373" i="19"/>
  <c r="I915" i="19"/>
  <c r="H291" i="19"/>
  <c r="H363" i="19"/>
  <c r="I15" i="19"/>
  <c r="H401" i="19"/>
  <c r="I675" i="19"/>
  <c r="H848" i="19"/>
  <c r="I698" i="19"/>
  <c r="H835" i="19"/>
  <c r="H786" i="19"/>
  <c r="I714" i="19"/>
  <c r="I326" i="19"/>
  <c r="I739" i="19"/>
  <c r="I708" i="19"/>
  <c r="H635" i="19"/>
  <c r="H55" i="19"/>
  <c r="H317" i="19"/>
  <c r="I433" i="19"/>
  <c r="H796" i="19"/>
  <c r="H892" i="19"/>
  <c r="H604" i="19"/>
  <c r="H825" i="19"/>
  <c r="H232" i="19"/>
  <c r="H760" i="19"/>
  <c r="I80" i="19"/>
  <c r="H743" i="19"/>
  <c r="H52" i="19"/>
  <c r="H550" i="19"/>
  <c r="I794" i="19"/>
  <c r="H56" i="19"/>
  <c r="H451" i="19"/>
  <c r="I67" i="19"/>
  <c r="I392" i="19"/>
  <c r="I513" i="19"/>
  <c r="I276" i="19"/>
  <c r="I123" i="19"/>
  <c r="I281" i="19"/>
  <c r="H834" i="19"/>
  <c r="H545" i="19"/>
  <c r="I912" i="19"/>
  <c r="H260" i="19"/>
  <c r="I239" i="19"/>
  <c r="I57" i="19"/>
  <c r="I453" i="19"/>
  <c r="H142" i="19"/>
  <c r="I511" i="19"/>
  <c r="I198" i="19"/>
  <c r="I551" i="19"/>
  <c r="H846" i="19"/>
  <c r="H571" i="19"/>
  <c r="I395" i="19"/>
  <c r="H605" i="19"/>
  <c r="H516" i="19"/>
  <c r="H134" i="19"/>
  <c r="H299" i="19"/>
  <c r="I103" i="19"/>
  <c r="H435" i="19"/>
  <c r="I394" i="19"/>
  <c r="I844" i="19"/>
  <c r="I689" i="19"/>
  <c r="I716" i="19"/>
  <c r="I328" i="19"/>
  <c r="H862" i="19"/>
  <c r="H725" i="19"/>
  <c r="H429" i="19"/>
  <c r="I48" i="19"/>
  <c r="H319" i="19"/>
  <c r="I384" i="19"/>
  <c r="H628" i="19"/>
  <c r="H599" i="19"/>
  <c r="H763" i="19"/>
  <c r="I615" i="19"/>
  <c r="H698" i="19"/>
  <c r="H21" i="19"/>
  <c r="I73" i="19"/>
  <c r="I692" i="19"/>
  <c r="I595" i="19"/>
  <c r="I421" i="19"/>
  <c r="I582" i="19"/>
  <c r="H156" i="19"/>
  <c r="H714" i="19"/>
  <c r="I363" i="19"/>
  <c r="H557" i="19"/>
  <c r="H620" i="19"/>
  <c r="H817" i="19"/>
  <c r="I403" i="19"/>
  <c r="H245" i="19"/>
  <c r="I883" i="19"/>
  <c r="I552" i="19"/>
  <c r="H431" i="19"/>
  <c r="I588" i="19"/>
  <c r="H295" i="19"/>
  <c r="I664" i="19"/>
  <c r="I697" i="19"/>
  <c r="I17" i="19"/>
  <c r="H10" i="19"/>
  <c r="H127" i="19"/>
  <c r="H229" i="19"/>
  <c r="I570" i="19"/>
  <c r="I909" i="19"/>
  <c r="I146" i="19"/>
  <c r="H458" i="19"/>
  <c r="H326" i="19"/>
  <c r="I885" i="19"/>
  <c r="I441" i="19"/>
  <c r="I735" i="19"/>
  <c r="I398" i="19"/>
  <c r="H292" i="19"/>
  <c r="H587" i="19"/>
  <c r="H169" i="19"/>
  <c r="I432" i="19"/>
  <c r="I203" i="19"/>
  <c r="H883" i="19"/>
  <c r="I98" i="19"/>
  <c r="H449" i="19"/>
  <c r="H251" i="19"/>
  <c r="H509" i="19"/>
  <c r="I92" i="19"/>
  <c r="I747" i="19"/>
  <c r="I141" i="19"/>
  <c r="H239" i="19"/>
  <c r="H440" i="19"/>
  <c r="H640" i="19"/>
  <c r="I906" i="19"/>
  <c r="H741" i="19"/>
  <c r="H528" i="19"/>
  <c r="I493" i="19"/>
  <c r="H87" i="19"/>
  <c r="H407" i="19"/>
  <c r="I362" i="19"/>
  <c r="I925" i="19"/>
  <c r="H231" i="19"/>
  <c r="H399" i="19"/>
  <c r="I418" i="19"/>
  <c r="I669" i="19"/>
  <c r="H355" i="19"/>
  <c r="H503" i="19"/>
  <c r="I272" i="19"/>
  <c r="I897" i="19"/>
  <c r="H22" i="19"/>
  <c r="I236" i="19"/>
  <c r="I431" i="19"/>
  <c r="I286" i="19"/>
  <c r="I35" i="19"/>
  <c r="H523" i="19"/>
  <c r="I479" i="19"/>
  <c r="I864" i="19"/>
  <c r="I415" i="19"/>
  <c r="H226" i="19"/>
  <c r="I733" i="19"/>
  <c r="H40" i="19"/>
  <c r="H726" i="19"/>
  <c r="I119" i="19"/>
  <c r="I195" i="19"/>
  <c r="I503" i="19"/>
  <c r="I919" i="19"/>
  <c r="H262" i="19"/>
  <c r="I500" i="19"/>
  <c r="I784" i="19"/>
  <c r="I50" i="19"/>
  <c r="H922" i="19"/>
  <c r="H579" i="19"/>
  <c r="I51" i="19"/>
  <c r="I230" i="19"/>
  <c r="H737" i="19"/>
  <c r="H425" i="19"/>
  <c r="H845" i="19"/>
  <c r="H96" i="19"/>
  <c r="I47" i="19"/>
  <c r="I596" i="19"/>
  <c r="I800" i="19"/>
  <c r="I835" i="19"/>
  <c r="H830" i="19"/>
  <c r="I780" i="19"/>
  <c r="H546" i="19"/>
  <c r="I324" i="19"/>
  <c r="I693" i="19"/>
  <c r="I243" i="19"/>
  <c r="I911" i="19"/>
  <c r="I185" i="19"/>
  <c r="H394" i="19"/>
  <c r="H583" i="19"/>
  <c r="I861" i="19"/>
  <c r="I616" i="19"/>
  <c r="I263" i="19"/>
  <c r="H502" i="19"/>
  <c r="H840" i="19"/>
  <c r="I327" i="19"/>
  <c r="H512" i="19"/>
  <c r="H420" i="19"/>
  <c r="I259" i="19"/>
  <c r="H679" i="19"/>
  <c r="I341" i="19"/>
  <c r="H532" i="19"/>
  <c r="I621" i="19"/>
  <c r="H890" i="19"/>
  <c r="H480" i="19"/>
  <c r="H157" i="19"/>
  <c r="H749" i="19"/>
  <c r="H481" i="19"/>
  <c r="H776" i="19"/>
  <c r="H655" i="19"/>
  <c r="H860" i="19"/>
  <c r="H733" i="19"/>
  <c r="I908" i="19"/>
  <c r="H711" i="19"/>
  <c r="H367" i="19"/>
  <c r="I525" i="19"/>
  <c r="H377" i="19"/>
  <c r="H388" i="19"/>
  <c r="H9" i="19"/>
  <c r="H519" i="19"/>
  <c r="I166" i="19"/>
  <c r="H539" i="19"/>
  <c r="I712" i="19"/>
  <c r="I122" i="19"/>
  <c r="H648" i="19"/>
  <c r="I168" i="19"/>
  <c r="H858" i="19"/>
  <c r="H923" i="19"/>
  <c r="I557" i="19"/>
  <c r="H209" i="19"/>
  <c r="I408" i="19"/>
  <c r="H811" i="19"/>
  <c r="I688" i="19"/>
  <c r="I320" i="19"/>
  <c r="H64" i="19"/>
  <c r="H912" i="19"/>
  <c r="H732" i="19"/>
  <c r="H6" i="19"/>
  <c r="H374" i="19"/>
  <c r="H215" i="19"/>
  <c r="I661" i="19"/>
  <c r="I297" i="19"/>
  <c r="H766" i="19"/>
  <c r="I338" i="19"/>
  <c r="I443" i="19"/>
  <c r="H272" i="19"/>
  <c r="H48" i="19"/>
  <c r="H506" i="19"/>
  <c r="I603" i="19"/>
  <c r="I4" i="19"/>
  <c r="I536" i="19"/>
  <c r="H864" i="19"/>
  <c r="I660" i="19"/>
  <c r="I212" i="19"/>
  <c r="I924" i="19"/>
  <c r="I642" i="19"/>
  <c r="I30" i="19"/>
  <c r="I291" i="19"/>
  <c r="I858" i="19"/>
  <c r="H414" i="19"/>
  <c r="I905" i="19"/>
  <c r="I20" i="19"/>
  <c r="I495" i="19"/>
  <c r="I258" i="19"/>
  <c r="I571" i="19"/>
  <c r="I120" i="19"/>
  <c r="I781" i="19"/>
  <c r="I531" i="19"/>
  <c r="H99" i="19"/>
  <c r="H31" i="19"/>
  <c r="I808" i="19"/>
  <c r="I563" i="19"/>
  <c r="H804" i="19"/>
  <c r="I683" i="19"/>
  <c r="I762" i="19"/>
  <c r="I202" i="19"/>
  <c r="I847" i="19"/>
  <c r="I510" i="19"/>
  <c r="H792" i="19"/>
  <c r="I2" i="19"/>
  <c r="H437" i="19"/>
  <c r="I768" i="19"/>
  <c r="H832" i="19"/>
  <c r="I478" i="19"/>
  <c r="I830" i="19"/>
  <c r="H921" i="19"/>
  <c r="H261" i="19"/>
  <c r="H626" i="19"/>
  <c r="I866" i="19"/>
  <c r="I565" i="19"/>
  <c r="H178" i="19"/>
  <c r="H687" i="19"/>
  <c r="H565" i="19"/>
  <c r="H32" i="19"/>
  <c r="H61" i="19"/>
  <c r="I623" i="19"/>
  <c r="I419" i="19"/>
  <c r="H525" i="19"/>
  <c r="H491" i="19"/>
  <c r="H187" i="19"/>
  <c r="I244" i="19"/>
  <c r="H619" i="19"/>
  <c r="I374" i="19"/>
  <c r="I447" i="19"/>
  <c r="I450" i="19"/>
  <c r="H479" i="19"/>
  <c r="H436" i="19"/>
  <c r="H457" i="19"/>
  <c r="H384" i="19"/>
  <c r="H510" i="19"/>
  <c r="I537" i="19"/>
  <c r="H171" i="19"/>
  <c r="I741" i="19"/>
  <c r="I221" i="19"/>
  <c r="I515" i="19"/>
  <c r="H233" i="19"/>
  <c r="H330" i="19"/>
  <c r="H371" i="19"/>
  <c r="H742" i="19"/>
  <c r="I901" i="19"/>
  <c r="I673" i="19"/>
  <c r="I89" i="19"/>
  <c r="H121" i="19"/>
  <c r="H247" i="19"/>
  <c r="H664" i="19"/>
  <c r="H526" i="19"/>
  <c r="I619" i="19"/>
  <c r="I127" i="19"/>
  <c r="I814" i="19"/>
  <c r="H800" i="19"/>
  <c r="H210" i="19"/>
  <c r="I426" i="19"/>
  <c r="H918" i="19"/>
  <c r="H699" i="19"/>
  <c r="H198" i="19"/>
  <c r="I27" i="19"/>
  <c r="H463" i="19"/>
  <c r="H133" i="19"/>
  <c r="I562" i="19"/>
  <c r="I694" i="19"/>
  <c r="H681" i="19"/>
  <c r="H269" i="19"/>
  <c r="H738" i="19"/>
  <c r="I647" i="19"/>
  <c r="H276" i="19"/>
  <c r="I242" i="19"/>
  <c r="I96" i="19"/>
  <c r="I730" i="19"/>
  <c r="H427" i="19"/>
  <c r="I130" i="19"/>
  <c r="H201" i="19"/>
  <c r="I177" i="19"/>
  <c r="I802" i="19"/>
  <c r="H639" i="19"/>
  <c r="I343" i="19"/>
  <c r="H517" i="19"/>
  <c r="I170" i="19"/>
  <c r="H771" i="19"/>
  <c r="I210" i="19"/>
  <c r="I172" i="19"/>
  <c r="H889" i="19"/>
  <c r="I539" i="19"/>
  <c r="I307" i="19"/>
  <c r="I33" i="19"/>
  <c r="H81" i="19"/>
  <c r="H850" i="19"/>
  <c r="H424" i="19"/>
  <c r="I32" i="19"/>
  <c r="H706" i="19"/>
  <c r="H563" i="19"/>
  <c r="H867" i="19"/>
  <c r="I851" i="19"/>
  <c r="H553" i="19"/>
  <c r="I238" i="19"/>
  <c r="H879" i="19"/>
  <c r="H57" i="19"/>
  <c r="I722" i="19"/>
  <c r="H803" i="19"/>
  <c r="H470" i="19"/>
  <c r="H736" i="19"/>
  <c r="I580" i="19"/>
  <c r="I427" i="19"/>
  <c r="I455" i="19"/>
  <c r="I81" i="19"/>
  <c r="H345" i="19"/>
  <c r="I151" i="19"/>
  <c r="H285" i="19"/>
  <c r="I228" i="19"/>
  <c r="H65" i="19"/>
  <c r="H809" i="19"/>
  <c r="I218" i="19"/>
  <c r="H353" i="19"/>
  <c r="I926" i="19"/>
  <c r="H690" i="19"/>
  <c r="I554" i="19"/>
  <c r="I882" i="19"/>
  <c r="I921" i="19"/>
  <c r="H41" i="19"/>
  <c r="I323" i="19"/>
  <c r="I576" i="19"/>
  <c r="I111" i="19"/>
  <c r="I319" i="19"/>
  <c r="H588" i="19"/>
  <c r="H413" i="19"/>
  <c r="H582" i="19"/>
  <c r="H769" i="19"/>
  <c r="H632" i="19"/>
  <c r="I452" i="19"/>
  <c r="H390" i="19"/>
  <c r="I85" i="19"/>
  <c r="I370" i="19"/>
  <c r="H653" i="19"/>
  <c r="I63" i="19"/>
  <c r="H441" i="19"/>
  <c r="I772" i="19"/>
  <c r="I898" i="19"/>
  <c r="H554" i="19"/>
  <c r="I658" i="19"/>
  <c r="H917" i="19"/>
  <c r="H60" i="19"/>
  <c r="I264" i="19"/>
  <c r="H220" i="19"/>
  <c r="I40" i="19"/>
  <c r="I109" i="19"/>
  <c r="H674" i="19"/>
  <c r="I295" i="19"/>
  <c r="I508" i="19"/>
  <c r="I260" i="19"/>
  <c r="I534" i="19"/>
  <c r="H303" i="19"/>
  <c r="H281" i="19"/>
  <c r="H166" i="19"/>
  <c r="I223" i="19"/>
  <c r="H584" i="19"/>
  <c r="H683" i="19"/>
  <c r="H686" i="19"/>
  <c r="I105" i="19"/>
  <c r="I752" i="19"/>
  <c r="H634" i="19"/>
  <c r="H667" i="19"/>
  <c r="H847" i="19"/>
  <c r="I600" i="19"/>
  <c r="H263" i="19"/>
  <c r="H36" i="19"/>
  <c r="I486" i="19"/>
  <c r="H150" i="19"/>
  <c r="H136" i="19"/>
  <c r="H143" i="19"/>
  <c r="H3" i="19"/>
  <c r="I410" i="19"/>
  <c r="I72" i="19"/>
  <c r="H808" i="19"/>
  <c r="H17" i="19"/>
  <c r="H147" i="19"/>
  <c r="I902" i="19"/>
  <c r="H203" i="19"/>
  <c r="H106" i="19"/>
  <c r="I86" i="19"/>
  <c r="I52" i="19"/>
  <c r="H453" i="19"/>
  <c r="I245" i="19"/>
  <c r="H505" i="19"/>
  <c r="H924" i="19"/>
  <c r="I705" i="19"/>
  <c r="H305" i="19"/>
  <c r="H885" i="19"/>
  <c r="H813" i="19"/>
  <c r="I393" i="19"/>
  <c r="H713" i="19"/>
  <c r="I355" i="19"/>
  <c r="H701" i="19"/>
  <c r="H468" i="19"/>
  <c r="I799" i="19"/>
  <c r="H685" i="19"/>
  <c r="I892" i="19"/>
  <c r="I812" i="19"/>
  <c r="H752" i="19"/>
  <c r="I677" i="19"/>
  <c r="I471" i="19"/>
  <c r="I720" i="19"/>
  <c r="I273" i="19"/>
  <c r="H602" i="19"/>
  <c r="H252" i="19"/>
  <c r="H58" i="19"/>
  <c r="H439" i="19"/>
  <c r="H349" i="19"/>
  <c r="H622" i="19"/>
  <c r="I567" i="19"/>
  <c r="H174" i="19"/>
  <c r="I99" i="19"/>
  <c r="I738" i="19"/>
  <c r="H613" i="19"/>
  <c r="I353" i="19"/>
  <c r="H170" i="19"/>
  <c r="I540" i="19"/>
  <c r="H270" i="19"/>
  <c r="H16" i="19"/>
  <c r="I626" i="19"/>
  <c r="H249" i="19"/>
  <c r="H211" i="19"/>
  <c r="H382" i="19"/>
  <c r="I269" i="19"/>
  <c r="I204" i="19"/>
  <c r="H432" i="19"/>
  <c r="H789" i="19"/>
  <c r="I639" i="19"/>
  <c r="H446" i="19"/>
  <c r="I704" i="19"/>
  <c r="I335" i="19"/>
  <c r="I90" i="19"/>
  <c r="I886" i="19"/>
  <c r="H264" i="19"/>
  <c r="I655" i="19"/>
  <c r="I14" i="19"/>
  <c r="H352" i="19"/>
  <c r="I685" i="19"/>
  <c r="H608" i="19"/>
  <c r="I104" i="19"/>
  <c r="I640" i="19"/>
  <c r="I601" i="19"/>
  <c r="I910" i="19"/>
  <c r="H852" i="19"/>
  <c r="H122" i="19"/>
  <c r="H428" i="19"/>
  <c r="H717" i="19"/>
  <c r="H71" i="19"/>
  <c r="I133" i="19"/>
  <c r="I274" i="19"/>
  <c r="I301" i="19"/>
  <c r="H297" i="19"/>
  <c r="I505" i="19"/>
  <c r="H23" i="19"/>
  <c r="H460" i="19"/>
  <c r="I903" i="19"/>
  <c r="I825" i="19"/>
  <c r="H13" i="19"/>
  <c r="I793" i="19"/>
  <c r="I893" i="19"/>
  <c r="H697" i="19"/>
  <c r="H759" i="19"/>
  <c r="I325" i="19"/>
  <c r="I676" i="19"/>
  <c r="H336" i="19"/>
  <c r="I38" i="19"/>
  <c r="H168" i="19"/>
  <c r="I547" i="19"/>
  <c r="H757" i="19"/>
  <c r="I483" i="19"/>
  <c r="H235" i="19"/>
  <c r="H8" i="19"/>
  <c r="H723" i="19"/>
  <c r="I788" i="19"/>
  <c r="I872" i="19"/>
  <c r="H310" i="19"/>
  <c r="I854" i="19"/>
  <c r="I719" i="19"/>
  <c r="H37" i="19"/>
  <c r="I250" i="19"/>
  <c r="I884" i="19"/>
  <c r="H863" i="19"/>
  <c r="I181" i="19"/>
  <c r="H745" i="19"/>
  <c r="H438" i="19"/>
  <c r="H515" i="19"/>
  <c r="H311" i="19"/>
  <c r="I451" i="19"/>
  <c r="H411" i="19"/>
  <c r="I391" i="19"/>
  <c r="H125" i="19"/>
  <c r="I45" i="19"/>
  <c r="I475" i="19"/>
  <c r="H644" i="19"/>
  <c r="H897" i="19"/>
  <c r="I306" i="19"/>
  <c r="H478" i="19"/>
  <c r="I876" i="19"/>
  <c r="H485" i="19"/>
  <c r="I497" i="19"/>
  <c r="I253" i="19"/>
  <c r="I564" i="19"/>
  <c r="H315" i="19"/>
  <c r="I296" i="19"/>
  <c r="I257" i="19"/>
  <c r="I686" i="19"/>
  <c r="I578" i="19"/>
  <c r="I428" i="19"/>
  <c r="H472" i="19"/>
  <c r="H611" i="19"/>
  <c r="H284" i="19"/>
  <c r="I399" i="19"/>
  <c r="I899" i="19"/>
  <c r="I512" i="19"/>
  <c r="I713" i="19"/>
  <c r="I288" i="19"/>
  <c r="I251" i="19"/>
  <c r="H531" i="19"/>
  <c r="I167" i="19"/>
  <c r="I492" i="19"/>
  <c r="H219" i="19"/>
  <c r="H135" i="19"/>
  <c r="I445" i="19"/>
  <c r="H11" i="19"/>
  <c r="H380" i="19"/>
  <c r="H794" i="19"/>
  <c r="H138" i="19"/>
  <c r="I344" i="19"/>
  <c r="H405" i="19"/>
  <c r="H574" i="19"/>
  <c r="I524" i="19"/>
  <c r="I396" i="19"/>
  <c r="I265" i="19"/>
  <c r="H589" i="19"/>
  <c r="I66" i="19"/>
  <c r="I725" i="19"/>
  <c r="H398" i="19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H61" i="18"/>
  <c r="L169" i="18"/>
  <c r="I205" i="18"/>
  <c r="I173" i="18"/>
  <c r="H88" i="18"/>
  <c r="L143" i="18"/>
  <c r="L53" i="18"/>
  <c r="I14" i="18"/>
  <c r="L17" i="18"/>
  <c r="H146" i="18"/>
  <c r="I109" i="18"/>
  <c r="H80" i="18"/>
  <c r="L161" i="18"/>
  <c r="L75" i="18"/>
  <c r="I154" i="18"/>
  <c r="H142" i="18"/>
  <c r="H119" i="18"/>
  <c r="L63" i="18"/>
  <c r="H96" i="18"/>
  <c r="I124" i="18"/>
  <c r="I27" i="18"/>
  <c r="L86" i="18"/>
  <c r="H123" i="18"/>
  <c r="H8" i="18"/>
  <c r="L178" i="18"/>
  <c r="H208" i="18"/>
  <c r="I82" i="18"/>
  <c r="I2" i="18"/>
  <c r="I125" i="18"/>
  <c r="L112" i="18"/>
  <c r="L38" i="18"/>
  <c r="L67" i="18"/>
  <c r="H143" i="18"/>
  <c r="H74" i="18"/>
  <c r="L40" i="18"/>
  <c r="L73" i="18"/>
  <c r="I127" i="18"/>
  <c r="L200" i="18"/>
  <c r="I85" i="18"/>
  <c r="L140" i="18"/>
  <c r="L209" i="18"/>
  <c r="H57" i="18"/>
  <c r="H177" i="18"/>
  <c r="H182" i="18"/>
  <c r="L2" i="18"/>
  <c r="L118" i="18"/>
  <c r="H213" i="18"/>
  <c r="I103" i="18"/>
  <c r="L113" i="18"/>
  <c r="L182" i="18"/>
  <c r="L62" i="18"/>
  <c r="L122" i="18"/>
  <c r="H124" i="18"/>
  <c r="H134" i="18"/>
  <c r="I113" i="18"/>
  <c r="L10" i="18"/>
  <c r="H201" i="18"/>
  <c r="I222" i="18"/>
  <c r="I223" i="18"/>
  <c r="L180" i="18"/>
  <c r="H53" i="18"/>
  <c r="I6" i="18"/>
  <c r="H104" i="18"/>
  <c r="I89" i="18"/>
  <c r="I111" i="18"/>
  <c r="I164" i="18"/>
  <c r="L127" i="18"/>
  <c r="H214" i="18"/>
  <c r="H167" i="18"/>
  <c r="H15" i="18"/>
  <c r="L21" i="18"/>
  <c r="H126" i="18"/>
  <c r="L125" i="18"/>
  <c r="L196" i="18"/>
  <c r="H75" i="18"/>
  <c r="I48" i="18"/>
  <c r="I191" i="18"/>
  <c r="I190" i="18"/>
  <c r="H41" i="18"/>
  <c r="H125" i="18"/>
  <c r="H120" i="18"/>
  <c r="I197" i="18"/>
  <c r="L170" i="18"/>
  <c r="I193" i="18"/>
  <c r="L29" i="18"/>
  <c r="H37" i="18"/>
  <c r="I80" i="18"/>
  <c r="I20" i="18"/>
  <c r="H99" i="18"/>
  <c r="H171" i="18"/>
  <c r="L195" i="18"/>
  <c r="I148" i="18"/>
  <c r="H205" i="18"/>
  <c r="H67" i="18"/>
  <c r="H42" i="18"/>
  <c r="L133" i="18"/>
  <c r="L22" i="18"/>
  <c r="L49" i="18"/>
  <c r="I43" i="18"/>
  <c r="I68" i="18"/>
  <c r="L71" i="18"/>
  <c r="L96" i="18"/>
  <c r="I161" i="18"/>
  <c r="H38" i="18"/>
  <c r="H132" i="18"/>
  <c r="L28" i="18"/>
  <c r="H31" i="18"/>
  <c r="H22" i="18"/>
  <c r="H211" i="18"/>
  <c r="L36" i="18"/>
  <c r="H32" i="18"/>
  <c r="I115" i="18"/>
  <c r="H173" i="18"/>
  <c r="H94" i="18"/>
  <c r="H180" i="18"/>
  <c r="H223" i="18"/>
  <c r="L45" i="18"/>
  <c r="L177" i="18"/>
  <c r="H148" i="18"/>
  <c r="H11" i="18"/>
  <c r="L193" i="18"/>
  <c r="I184" i="18"/>
  <c r="I96" i="18"/>
  <c r="H159" i="18"/>
  <c r="L78" i="18"/>
  <c r="H129" i="18"/>
  <c r="L15" i="18"/>
  <c r="L167" i="18"/>
  <c r="I160" i="18"/>
  <c r="H166" i="18"/>
  <c r="L31" i="18"/>
  <c r="H44" i="18"/>
  <c r="I142" i="18"/>
  <c r="H64" i="18"/>
  <c r="H176" i="18"/>
  <c r="L51" i="18"/>
  <c r="I215" i="18"/>
  <c r="H49" i="18"/>
  <c r="L97" i="18"/>
  <c r="H91" i="18"/>
  <c r="L126" i="18"/>
  <c r="I88" i="18"/>
  <c r="H72" i="18"/>
  <c r="L141" i="18"/>
  <c r="H87" i="18"/>
  <c r="I42" i="18"/>
  <c r="L99" i="18"/>
  <c r="L135" i="18"/>
  <c r="H81" i="18"/>
  <c r="I119" i="18"/>
  <c r="L35" i="18"/>
  <c r="I62" i="18"/>
  <c r="I166" i="18"/>
  <c r="H206" i="18"/>
  <c r="H220" i="18"/>
  <c r="H162" i="18"/>
  <c r="I26" i="18"/>
  <c r="I30" i="18"/>
  <c r="L37" i="18"/>
  <c r="I31" i="18"/>
  <c r="L16" i="18"/>
  <c r="I16" i="18"/>
  <c r="L142" i="18"/>
  <c r="I95" i="18"/>
  <c r="H135" i="18"/>
  <c r="H9" i="18"/>
  <c r="I69" i="18"/>
  <c r="I24" i="18"/>
  <c r="H10" i="18"/>
  <c r="I4" i="18"/>
  <c r="H212" i="18"/>
  <c r="H115" i="18"/>
  <c r="L104" i="18"/>
  <c r="H149" i="18"/>
  <c r="H151" i="18"/>
  <c r="L12" i="18"/>
  <c r="I157" i="18"/>
  <c r="I138" i="18"/>
  <c r="H26" i="18"/>
  <c r="H90" i="18"/>
  <c r="H198" i="18"/>
  <c r="I123" i="18"/>
  <c r="H216" i="18"/>
  <c r="H29" i="18"/>
  <c r="H106" i="18"/>
  <c r="H179" i="18"/>
  <c r="L66" i="18"/>
  <c r="L106" i="18"/>
  <c r="L181" i="18"/>
  <c r="I12" i="18"/>
  <c r="L173" i="18"/>
  <c r="I63" i="18"/>
  <c r="H144" i="18"/>
  <c r="L163" i="18"/>
  <c r="I135" i="18"/>
  <c r="I94" i="18"/>
  <c r="L211" i="18"/>
  <c r="I97" i="18"/>
  <c r="L120" i="18"/>
  <c r="I168" i="18"/>
  <c r="I208" i="18"/>
  <c r="L205" i="18"/>
  <c r="I112" i="18"/>
  <c r="H150" i="18"/>
  <c r="I21" i="18"/>
  <c r="H86" i="18"/>
  <c r="H59" i="18"/>
  <c r="H204" i="18"/>
  <c r="L138" i="18"/>
  <c r="L147" i="18"/>
  <c r="H110" i="18"/>
  <c r="I81" i="18"/>
  <c r="I145" i="18"/>
  <c r="I18" i="18"/>
  <c r="I83" i="18"/>
  <c r="L101" i="18"/>
  <c r="L32" i="18"/>
  <c r="L42" i="18"/>
  <c r="L186" i="18"/>
  <c r="I200" i="18"/>
  <c r="I180" i="18"/>
  <c r="L6" i="18"/>
  <c r="L210" i="18"/>
  <c r="H219" i="18"/>
  <c r="I104" i="18"/>
  <c r="L111" i="18"/>
  <c r="H113" i="18"/>
  <c r="I60" i="18"/>
  <c r="I158" i="18"/>
  <c r="H77" i="18"/>
  <c r="I44" i="18"/>
  <c r="L65" i="18"/>
  <c r="L110" i="18"/>
  <c r="H7" i="18"/>
  <c r="L44" i="18"/>
  <c r="I165" i="18"/>
  <c r="H193" i="18"/>
  <c r="H170" i="18"/>
  <c r="H109" i="18"/>
  <c r="H194" i="18"/>
  <c r="I177" i="18"/>
  <c r="I51" i="18"/>
  <c r="L115" i="18"/>
  <c r="L47" i="18"/>
  <c r="L157" i="18"/>
  <c r="I40" i="18"/>
  <c r="L30" i="18"/>
  <c r="I162" i="18"/>
  <c r="I140" i="18"/>
  <c r="L25" i="18"/>
  <c r="I195" i="18"/>
  <c r="I79" i="18"/>
  <c r="L172" i="18"/>
  <c r="L105" i="18"/>
  <c r="H139" i="18"/>
  <c r="L131" i="18"/>
  <c r="I19" i="18"/>
  <c r="I179" i="18"/>
  <c r="I92" i="18"/>
  <c r="H82" i="18"/>
  <c r="H4" i="18"/>
  <c r="H39" i="18"/>
  <c r="I73" i="18"/>
  <c r="L197" i="18"/>
  <c r="L153" i="18"/>
  <c r="L155" i="18"/>
  <c r="L85" i="18"/>
  <c r="H13" i="18"/>
  <c r="L61" i="18"/>
  <c r="H45" i="18"/>
  <c r="H95" i="18"/>
  <c r="I50" i="18"/>
  <c r="I108" i="18"/>
  <c r="L123" i="18"/>
  <c r="H141" i="18"/>
  <c r="I159" i="18"/>
  <c r="H40" i="18"/>
  <c r="L46" i="18"/>
  <c r="I35" i="18"/>
  <c r="I36" i="18"/>
  <c r="L74" i="18"/>
  <c r="L20" i="18"/>
  <c r="H78" i="18"/>
  <c r="I132" i="18"/>
  <c r="H65" i="18"/>
  <c r="I209" i="18"/>
  <c r="L43" i="18"/>
  <c r="L83" i="18"/>
  <c r="L58" i="18"/>
  <c r="I107" i="18"/>
  <c r="I141" i="18"/>
  <c r="H178" i="18"/>
  <c r="I214" i="18"/>
  <c r="L116" i="18"/>
  <c r="I86" i="18"/>
  <c r="I49" i="18"/>
  <c r="L27" i="18"/>
  <c r="H107" i="18"/>
  <c r="I102" i="18"/>
  <c r="I41" i="18"/>
  <c r="I90" i="18"/>
  <c r="H114" i="18"/>
  <c r="H58" i="18"/>
  <c r="H117" i="18"/>
  <c r="I189" i="18"/>
  <c r="I91" i="18"/>
  <c r="I183" i="18"/>
  <c r="I101" i="18"/>
  <c r="L7" i="18"/>
  <c r="L79" i="18"/>
  <c r="H218" i="18"/>
  <c r="L192" i="18"/>
  <c r="H127" i="18"/>
  <c r="L204" i="18"/>
  <c r="H47" i="18"/>
  <c r="L9" i="18"/>
  <c r="H200" i="18"/>
  <c r="L84" i="18"/>
  <c r="L183" i="18"/>
  <c r="H105" i="18"/>
  <c r="I131" i="18"/>
  <c r="I116" i="18"/>
  <c r="I93" i="18"/>
  <c r="H172" i="18"/>
  <c r="H98" i="18"/>
  <c r="L194" i="18"/>
  <c r="I23" i="18"/>
  <c r="L34" i="18"/>
  <c r="H156" i="18"/>
  <c r="L149" i="18"/>
  <c r="H18" i="18"/>
  <c r="H33" i="18"/>
  <c r="L137" i="18"/>
  <c r="I144" i="18"/>
  <c r="H215" i="18"/>
  <c r="I174" i="18"/>
  <c r="H197" i="18"/>
  <c r="I106" i="18"/>
  <c r="I99" i="18"/>
  <c r="I117" i="18"/>
  <c r="H108" i="18"/>
  <c r="H140" i="18"/>
  <c r="L171" i="18"/>
  <c r="L59" i="18"/>
  <c r="I98" i="18"/>
  <c r="L162" i="18"/>
  <c r="H221" i="18"/>
  <c r="I201" i="18"/>
  <c r="L121" i="18"/>
  <c r="L174" i="18"/>
  <c r="H51" i="18"/>
  <c r="L154" i="18"/>
  <c r="I75" i="18"/>
  <c r="L202" i="18"/>
  <c r="I186" i="18"/>
  <c r="H25" i="18"/>
  <c r="L5" i="18"/>
  <c r="L185" i="18"/>
  <c r="I72" i="18"/>
  <c r="I149" i="18"/>
  <c r="I134" i="18"/>
  <c r="L208" i="18"/>
  <c r="I202" i="18"/>
  <c r="I122" i="18"/>
  <c r="I178" i="18"/>
  <c r="L41" i="18"/>
  <c r="H185" i="18"/>
  <c r="H12" i="18"/>
  <c r="I175" i="18"/>
  <c r="H175" i="18"/>
  <c r="I170" i="18"/>
  <c r="L18" i="18"/>
  <c r="L92" i="18"/>
  <c r="I130" i="18"/>
  <c r="I57" i="18"/>
  <c r="H111" i="18"/>
  <c r="L152" i="18"/>
  <c r="H207" i="18"/>
  <c r="I220" i="18"/>
  <c r="L11" i="18"/>
  <c r="H137" i="18"/>
  <c r="I219" i="18"/>
  <c r="I15" i="18"/>
  <c r="I77" i="18"/>
  <c r="H14" i="18"/>
  <c r="H21" i="18"/>
  <c r="H5" i="18"/>
  <c r="L175" i="18"/>
  <c r="I218" i="18"/>
  <c r="I105" i="18"/>
  <c r="H199" i="18"/>
  <c r="H20" i="18"/>
  <c r="I74" i="18"/>
  <c r="L82" i="18"/>
  <c r="I58" i="18"/>
  <c r="H54" i="18"/>
  <c r="I37" i="18"/>
  <c r="I128" i="18"/>
  <c r="L168" i="18"/>
  <c r="H2" i="18"/>
  <c r="I87" i="18"/>
  <c r="I172" i="18"/>
  <c r="L191" i="18"/>
  <c r="I84" i="18"/>
  <c r="I199" i="18"/>
  <c r="I196" i="18"/>
  <c r="H101" i="18"/>
  <c r="H188" i="18"/>
  <c r="L56" i="18"/>
  <c r="L48" i="18"/>
  <c r="H85" i="18"/>
  <c r="L77" i="18"/>
  <c r="H203" i="18"/>
  <c r="I163" i="18"/>
  <c r="H196" i="18"/>
  <c r="H174" i="18"/>
  <c r="H52" i="18"/>
  <c r="I171" i="18"/>
  <c r="H118" i="18"/>
  <c r="H136" i="18"/>
  <c r="L129" i="18"/>
  <c r="H76" i="18"/>
  <c r="L26" i="18"/>
  <c r="I11" i="18"/>
  <c r="H222" i="18"/>
  <c r="I55" i="18"/>
  <c r="I3" i="18"/>
  <c r="I221" i="18"/>
  <c r="L89" i="18"/>
  <c r="I150" i="18"/>
  <c r="L108" i="18"/>
  <c r="I206" i="18"/>
  <c r="I204" i="18"/>
  <c r="L164" i="18"/>
  <c r="H35" i="18"/>
  <c r="H187" i="18"/>
  <c r="L160" i="18"/>
  <c r="L128" i="18"/>
  <c r="L70" i="18"/>
  <c r="I33" i="18"/>
  <c r="L54" i="18"/>
  <c r="I133" i="18"/>
  <c r="L64" i="18"/>
  <c r="H73" i="18"/>
  <c r="I53" i="18"/>
  <c r="L109" i="18"/>
  <c r="L145" i="18"/>
  <c r="H83" i="18"/>
  <c r="I198" i="18"/>
  <c r="L100" i="18"/>
  <c r="I146" i="18"/>
  <c r="H60" i="18"/>
  <c r="H34" i="18"/>
  <c r="H217" i="18"/>
  <c r="H153" i="18"/>
  <c r="I212" i="18"/>
  <c r="L102" i="18"/>
  <c r="H164" i="18"/>
  <c r="H191" i="18"/>
  <c r="I25" i="18"/>
  <c r="H155" i="18"/>
  <c r="H186" i="18"/>
  <c r="I176" i="18"/>
  <c r="I147" i="18"/>
  <c r="H112" i="18"/>
  <c r="I143" i="18"/>
  <c r="H93" i="18"/>
  <c r="H122" i="18"/>
  <c r="H62" i="18"/>
  <c r="H84" i="18"/>
  <c r="I7" i="18"/>
  <c r="I22" i="18"/>
  <c r="L144" i="18"/>
  <c r="L187" i="18"/>
  <c r="H97" i="18"/>
  <c r="L13" i="18"/>
  <c r="I28" i="18"/>
  <c r="L4" i="18"/>
  <c r="H189" i="18"/>
  <c r="I38" i="18"/>
  <c r="H202" i="18"/>
  <c r="L94" i="18"/>
  <c r="H133" i="18"/>
  <c r="H128" i="18"/>
  <c r="L146" i="18"/>
  <c r="L201" i="18"/>
  <c r="L88" i="18"/>
  <c r="L150" i="18"/>
  <c r="L165" i="18"/>
  <c r="I52" i="18"/>
  <c r="I56" i="18"/>
  <c r="L24" i="18"/>
  <c r="L52" i="18"/>
  <c r="H71" i="18"/>
  <c r="L114" i="18"/>
  <c r="H66" i="18"/>
  <c r="L124" i="18"/>
  <c r="L151" i="18"/>
  <c r="H158" i="18"/>
  <c r="H17" i="18"/>
  <c r="L156" i="18"/>
  <c r="H121" i="18"/>
  <c r="H36" i="18"/>
  <c r="H6" i="18"/>
  <c r="L60" i="18"/>
  <c r="I137" i="18"/>
  <c r="L117" i="18"/>
  <c r="L198" i="18"/>
  <c r="H161" i="18"/>
  <c r="I5" i="18"/>
  <c r="L76" i="18"/>
  <c r="H168" i="18"/>
  <c r="L80" i="18"/>
  <c r="I121" i="18"/>
  <c r="I126" i="18"/>
  <c r="I185" i="18"/>
  <c r="L158" i="18"/>
  <c r="H55" i="18"/>
  <c r="I17" i="18"/>
  <c r="H147" i="18"/>
  <c r="L33" i="18"/>
  <c r="I100" i="18"/>
  <c r="H192" i="18"/>
  <c r="L19" i="18"/>
  <c r="H19" i="18"/>
  <c r="L166" i="18"/>
  <c r="I211" i="18"/>
  <c r="I129" i="18"/>
  <c r="I70" i="18"/>
  <c r="L139" i="18"/>
  <c r="H138" i="18"/>
  <c r="L14" i="18"/>
  <c r="H103" i="18"/>
  <c r="I46" i="18"/>
  <c r="L159" i="18"/>
  <c r="H102" i="18"/>
  <c r="H163" i="18"/>
  <c r="I207" i="18"/>
  <c r="H68" i="18"/>
  <c r="L148" i="18"/>
  <c r="I32" i="18"/>
  <c r="I71" i="18"/>
  <c r="L91" i="18"/>
  <c r="H100" i="18"/>
  <c r="L206" i="18"/>
  <c r="I9" i="18"/>
  <c r="L134" i="18"/>
  <c r="I10" i="18"/>
  <c r="L212" i="18"/>
  <c r="H209" i="18"/>
  <c r="I114" i="18"/>
  <c r="H130" i="18"/>
  <c r="I192" i="18"/>
  <c r="L57" i="18"/>
  <c r="H195" i="18"/>
  <c r="I188" i="18"/>
  <c r="I54" i="18"/>
  <c r="H157" i="18"/>
  <c r="H48" i="18"/>
  <c r="I64" i="18"/>
  <c r="I187" i="18"/>
  <c r="I213" i="18"/>
  <c r="H190" i="18"/>
  <c r="I110" i="18"/>
  <c r="I181" i="18"/>
  <c r="L50" i="18"/>
  <c r="H79" i="18"/>
  <c r="I120" i="18"/>
  <c r="H63" i="18"/>
  <c r="I78" i="18"/>
  <c r="L69" i="18"/>
  <c r="L207" i="18"/>
  <c r="H24" i="18"/>
  <c r="L23" i="18"/>
  <c r="L107" i="18"/>
  <c r="L132" i="18"/>
  <c r="L130" i="18"/>
  <c r="I156" i="18"/>
  <c r="L98" i="18"/>
  <c r="I203" i="18"/>
  <c r="H181" i="18"/>
  <c r="I34" i="18"/>
  <c r="I65" i="18"/>
  <c r="H210" i="18"/>
  <c r="H30" i="18"/>
  <c r="L93" i="18"/>
  <c r="I76" i="18"/>
  <c r="I13" i="18"/>
  <c r="L176" i="18"/>
  <c r="I61" i="18"/>
  <c r="H56" i="18"/>
  <c r="H43" i="18"/>
  <c r="H154" i="18"/>
  <c r="I210" i="18"/>
  <c r="H92" i="18"/>
  <c r="H116" i="18"/>
  <c r="I182" i="18"/>
  <c r="I194" i="18"/>
  <c r="I169" i="18"/>
  <c r="L87" i="18"/>
  <c r="I39" i="18"/>
  <c r="H183" i="18"/>
  <c r="H169" i="18"/>
  <c r="L8" i="18"/>
  <c r="L72" i="18"/>
  <c r="H184" i="18"/>
  <c r="L95" i="18"/>
  <c r="H69" i="18"/>
  <c r="L203" i="18"/>
  <c r="H70" i="18"/>
  <c r="H165" i="18"/>
  <c r="L199" i="18"/>
  <c r="L55" i="18"/>
  <c r="L68" i="18"/>
  <c r="L81" i="18"/>
  <c r="I29" i="18"/>
  <c r="L90" i="18"/>
  <c r="H145" i="18"/>
  <c r="I167" i="18"/>
  <c r="H27" i="18"/>
  <c r="I152" i="18"/>
  <c r="I67" i="18"/>
  <c r="H152" i="18"/>
  <c r="H131" i="18"/>
  <c r="H160" i="18"/>
  <c r="I8" i="18"/>
  <c r="H46" i="18"/>
  <c r="I66" i="18"/>
  <c r="I217" i="18"/>
  <c r="L103" i="18"/>
  <c r="I136" i="18"/>
  <c r="L184" i="18"/>
  <c r="I216" i="18"/>
  <c r="L179" i="18"/>
  <c r="I47" i="18"/>
  <c r="I118" i="18"/>
  <c r="L3" i="18"/>
  <c r="I153" i="18"/>
  <c r="I59" i="18"/>
  <c r="I139" i="18"/>
  <c r="H23" i="18"/>
  <c r="L119" i="18"/>
  <c r="H3" i="18"/>
  <c r="L136" i="18"/>
  <c r="H50" i="18"/>
  <c r="I151" i="18"/>
  <c r="I155" i="18"/>
  <c r="I45" i="18"/>
  <c r="L39" i="18"/>
  <c r="H28" i="18"/>
  <c r="H16" i="18"/>
  <c r="H89" i="18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/>
  <c r="AH282" i="14" l="1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 l="1"/>
  <c r="D284" i="14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34" i="11"/>
  <c r="C16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E46" i="4"/>
  <c r="E45" i="4"/>
  <c r="E43" i="4"/>
  <c r="E44" i="4"/>
  <c r="J1159" i="19"/>
  <c r="J1171" i="19"/>
  <c r="J1169" i="19"/>
  <c r="J1165" i="19"/>
  <c r="J997" i="19"/>
  <c r="J1042" i="19"/>
  <c r="J1102" i="19"/>
  <c r="J382" i="18"/>
  <c r="J317" i="18"/>
  <c r="J363" i="18"/>
  <c r="J227" i="18"/>
  <c r="J356" i="18"/>
  <c r="J296" i="18"/>
  <c r="J331" i="18"/>
  <c r="T1165" i="19" l="1"/>
  <c r="T1169" i="19"/>
  <c r="T1171" i="19"/>
  <c r="T1159" i="19"/>
  <c r="W382" i="18"/>
  <c r="T1102" i="19"/>
  <c r="W363" i="18"/>
  <c r="W356" i="18"/>
  <c r="W331" i="18"/>
  <c r="W317" i="18"/>
  <c r="W296" i="18"/>
  <c r="T1042" i="19"/>
  <c r="T997" i="19"/>
  <c r="W227" i="18"/>
  <c r="Y19" i="12"/>
  <c r="J1170" i="19"/>
  <c r="J684" i="19"/>
  <c r="J842" i="19"/>
  <c r="J987" i="19"/>
  <c r="J841" i="19"/>
  <c r="J832" i="19"/>
  <c r="J840" i="19"/>
  <c r="J976" i="19"/>
  <c r="J819" i="19"/>
  <c r="J506" i="19"/>
  <c r="J147" i="19"/>
  <c r="J722" i="19"/>
  <c r="J42" i="19"/>
  <c r="J187" i="19"/>
  <c r="J295" i="19"/>
  <c r="J740" i="19"/>
  <c r="J938" i="19"/>
  <c r="J750" i="19"/>
  <c r="J471" i="19"/>
  <c r="J678" i="19"/>
  <c r="J862" i="19"/>
  <c r="J1100" i="19"/>
  <c r="J916" i="19"/>
  <c r="J910" i="19"/>
  <c r="J1004" i="19"/>
  <c r="J914" i="19"/>
  <c r="J175" i="19"/>
  <c r="J1027" i="19"/>
  <c r="J1091" i="19"/>
  <c r="J145" i="19"/>
  <c r="J55" i="19"/>
  <c r="J923" i="19"/>
  <c r="J811" i="19"/>
  <c r="J211" i="19"/>
  <c r="J1030" i="19"/>
  <c r="J1115" i="19"/>
  <c r="J668" i="19"/>
  <c r="J1023" i="19"/>
  <c r="J736" i="19"/>
  <c r="J658" i="19"/>
  <c r="J898" i="19"/>
  <c r="J189" i="19"/>
  <c r="J991" i="19"/>
  <c r="J894" i="19"/>
  <c r="J815" i="19"/>
  <c r="J884" i="19"/>
  <c r="J51" i="19"/>
  <c r="J141" i="19"/>
  <c r="J939" i="19"/>
  <c r="J741" i="19"/>
  <c r="J422" i="19"/>
  <c r="J554" i="19"/>
  <c r="J696" i="19"/>
  <c r="J909" i="19"/>
  <c r="J953" i="19"/>
  <c r="J925" i="19"/>
  <c r="J613" i="19"/>
  <c r="J304" i="19"/>
  <c r="J194" i="19"/>
  <c r="J716" i="19"/>
  <c r="J940" i="19"/>
  <c r="J961" i="19"/>
  <c r="J730" i="19"/>
  <c r="J692" i="19"/>
  <c r="J727" i="19"/>
  <c r="J851" i="19"/>
  <c r="J50" i="19"/>
  <c r="J1116" i="19"/>
  <c r="J1018" i="19"/>
  <c r="J985" i="19"/>
  <c r="J614" i="19"/>
  <c r="J952" i="19"/>
  <c r="J756" i="19"/>
  <c r="J283" i="19"/>
  <c r="J963" i="19"/>
  <c r="J1036" i="19"/>
  <c r="J1013" i="19"/>
  <c r="J602" i="19"/>
  <c r="J698" i="19"/>
  <c r="J1153" i="19"/>
  <c r="J867" i="19"/>
  <c r="J202" i="19"/>
  <c r="J477" i="19"/>
  <c r="J1009" i="19"/>
  <c r="J1040" i="19"/>
  <c r="J965" i="19"/>
  <c r="J482" i="19"/>
  <c r="J555" i="19"/>
  <c r="J926" i="19"/>
  <c r="J273" i="19"/>
  <c r="J612" i="19"/>
  <c r="J139" i="19"/>
  <c r="J1024" i="19"/>
  <c r="J553" i="19"/>
  <c r="J989" i="19"/>
  <c r="J728" i="19"/>
  <c r="J856" i="19"/>
  <c r="J713" i="19"/>
  <c r="J198" i="19"/>
  <c r="J302" i="19"/>
  <c r="J1006" i="19"/>
  <c r="J507" i="19"/>
  <c r="J1103" i="19"/>
  <c r="J505" i="19"/>
  <c r="J1005" i="19"/>
  <c r="J960" i="19"/>
  <c r="J908" i="19"/>
  <c r="J174" i="19"/>
  <c r="J161" i="19"/>
  <c r="J790" i="19"/>
  <c r="J984" i="19"/>
  <c r="J543" i="19"/>
  <c r="J284" i="19"/>
  <c r="J836" i="19"/>
  <c r="J495" i="19"/>
  <c r="J622" i="19"/>
  <c r="J683" i="19"/>
  <c r="J423" i="19"/>
  <c r="J274" i="19"/>
  <c r="J664" i="19"/>
  <c r="J880" i="19"/>
  <c r="J958" i="19"/>
  <c r="J712" i="19"/>
  <c r="J293" i="19"/>
  <c r="J928" i="19"/>
  <c r="J303" i="19"/>
  <c r="J271" i="19"/>
  <c r="J669" i="19"/>
  <c r="J1087" i="19"/>
  <c r="J173" i="19"/>
  <c r="J697" i="19"/>
  <c r="J149" i="19"/>
  <c r="J971" i="19"/>
  <c r="J852" i="19"/>
  <c r="J146" i="19"/>
  <c r="J1007" i="19"/>
  <c r="J816" i="19"/>
  <c r="J201" i="19"/>
  <c r="J272" i="19"/>
  <c r="J670" i="19"/>
  <c r="J621" i="19"/>
  <c r="J400" i="19"/>
  <c r="J791" i="19"/>
  <c r="J890" i="19"/>
  <c r="J421" i="19"/>
  <c r="J882" i="19"/>
  <c r="J52" i="19"/>
  <c r="J951" i="19"/>
  <c r="J411" i="19"/>
  <c r="J148" i="19"/>
  <c r="J682" i="19"/>
  <c r="J276" i="19"/>
  <c r="J172" i="19"/>
  <c r="J299" i="19"/>
  <c r="J870" i="19"/>
  <c r="J834" i="19"/>
  <c r="J549" i="19"/>
  <c r="J962" i="19"/>
  <c r="J1152" i="19"/>
  <c r="J817" i="19"/>
  <c r="J849" i="19"/>
  <c r="J850" i="19"/>
  <c r="J1022" i="19"/>
  <c r="J881" i="19"/>
  <c r="J292" i="19"/>
  <c r="J924" i="19"/>
  <c r="J988" i="19"/>
  <c r="J140" i="19"/>
  <c r="J129" i="19"/>
  <c r="J854" i="19"/>
  <c r="J896" i="19"/>
  <c r="J833" i="19"/>
  <c r="J483" i="19"/>
  <c r="J212" i="19"/>
  <c r="J186" i="19"/>
  <c r="J160" i="19"/>
  <c r="J825" i="19"/>
  <c r="J420" i="19"/>
  <c r="J481" i="19"/>
  <c r="J895" i="19"/>
  <c r="J853" i="19"/>
  <c r="J424" i="19"/>
  <c r="J934" i="19"/>
  <c r="J1104" i="19"/>
  <c r="J1041" i="19"/>
  <c r="J942" i="19"/>
  <c r="J744" i="19"/>
  <c r="J608" i="19"/>
  <c r="J296" i="19"/>
  <c r="J742" i="19"/>
  <c r="J915" i="19"/>
  <c r="J876" i="19"/>
  <c r="J1008" i="19"/>
  <c r="J959" i="19"/>
  <c r="J754" i="19"/>
  <c r="J199" i="19"/>
  <c r="J300" i="19"/>
  <c r="J1101" i="19"/>
  <c r="J866" i="19"/>
  <c r="J977" i="19"/>
  <c r="J868" i="19"/>
  <c r="J686" i="19"/>
  <c r="J714" i="19"/>
  <c r="J301" i="19"/>
  <c r="J200" i="19"/>
  <c r="J275" i="19"/>
  <c r="J702" i="19"/>
  <c r="J904" i="19"/>
  <c r="J708" i="19"/>
  <c r="J672" i="19"/>
  <c r="J986" i="19"/>
  <c r="J294" i="19"/>
  <c r="J913" i="19"/>
  <c r="J399" i="19"/>
  <c r="J948" i="19"/>
  <c r="J412" i="19"/>
  <c r="J291" i="19"/>
  <c r="J56" i="19"/>
  <c r="J419" i="19"/>
  <c r="J975" i="19"/>
  <c r="J135" i="19"/>
  <c r="J805" i="19"/>
  <c r="J1028" i="19"/>
  <c r="J501" i="19"/>
  <c r="J1090" i="19"/>
  <c r="J726" i="19"/>
  <c r="J835" i="19"/>
  <c r="J755" i="19"/>
  <c r="J360" i="18"/>
  <c r="J266" i="18"/>
  <c r="J142" i="18"/>
  <c r="J295" i="18"/>
  <c r="J224" i="18"/>
  <c r="J156" i="18"/>
  <c r="J56" i="18"/>
  <c r="J235" i="18"/>
  <c r="J99" i="18"/>
  <c r="J23" i="18"/>
  <c r="J222" i="18"/>
  <c r="J366" i="18"/>
  <c r="J329" i="18"/>
  <c r="J161" i="18"/>
  <c r="J223" i="18"/>
  <c r="J327" i="18"/>
  <c r="J355" i="18"/>
  <c r="J45" i="18"/>
  <c r="J122" i="18"/>
  <c r="J53" i="18"/>
  <c r="J326" i="18"/>
  <c r="J70" i="18"/>
  <c r="J213" i="18"/>
  <c r="J123" i="18"/>
  <c r="J229" i="18"/>
  <c r="J15" i="18"/>
  <c r="J59" i="18"/>
  <c r="J120" i="18"/>
  <c r="J41" i="18"/>
  <c r="J2" i="18"/>
  <c r="J325" i="18"/>
  <c r="J344" i="18"/>
  <c r="J221" i="18"/>
  <c r="J82" i="18"/>
  <c r="J9" i="18"/>
  <c r="J38" i="18"/>
  <c r="J46" i="18"/>
  <c r="J315" i="18"/>
  <c r="J51" i="18"/>
  <c r="J162" i="18"/>
  <c r="J77" i="18"/>
  <c r="J4" i="18"/>
  <c r="J220" i="18"/>
  <c r="J83" i="18"/>
  <c r="J361" i="18"/>
  <c r="J10" i="18"/>
  <c r="J3" i="18"/>
  <c r="J48" i="18"/>
  <c r="T1152" i="19" l="1"/>
  <c r="T1153" i="19"/>
  <c r="T1170" i="19"/>
  <c r="W360" i="18"/>
  <c r="T1101" i="19"/>
  <c r="T1100" i="19"/>
  <c r="T1104" i="19"/>
  <c r="T1115" i="19"/>
  <c r="T1103" i="19"/>
  <c r="T1116" i="19"/>
  <c r="W366" i="18"/>
  <c r="W295" i="18"/>
  <c r="W361" i="18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E5" i="4"/>
  <c r="E6" i="4"/>
  <c r="E7" i="4"/>
  <c r="E8" i="4"/>
  <c r="J394" i="18" s="1"/>
  <c r="E9" i="4"/>
  <c r="W401" i="18" s="1"/>
  <c r="E10" i="4"/>
  <c r="E11" i="4"/>
  <c r="E12" i="4"/>
  <c r="E13" i="4"/>
  <c r="E14" i="4"/>
  <c r="E15" i="4"/>
  <c r="E16" i="4"/>
  <c r="E17" i="4"/>
  <c r="E18" i="4"/>
  <c r="E19" i="4"/>
  <c r="E20" i="4"/>
  <c r="E21" i="4"/>
  <c r="W399" i="18" s="1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7" i="4"/>
  <c r="E48" i="4"/>
  <c r="E49" i="4"/>
  <c r="E50" i="4"/>
  <c r="J1143" i="19"/>
  <c r="J996" i="19"/>
  <c r="J1060" i="19"/>
  <c r="J1160" i="19"/>
  <c r="J1163" i="19"/>
  <c r="J1139" i="19"/>
  <c r="J1061" i="19"/>
  <c r="J995" i="19"/>
  <c r="J1164" i="19"/>
  <c r="J1064" i="19"/>
  <c r="J1142" i="19"/>
  <c r="J1145" i="19"/>
  <c r="J1166" i="19"/>
  <c r="J1168" i="19"/>
  <c r="J1158" i="19"/>
  <c r="J992" i="19"/>
  <c r="J378" i="18"/>
  <c r="J380" i="18"/>
  <c r="J375" i="18"/>
  <c r="J349" i="18"/>
  <c r="J293" i="18"/>
  <c r="J318" i="18"/>
  <c r="J265" i="18"/>
  <c r="J316" i="18"/>
  <c r="J371" i="18"/>
  <c r="J373" i="18"/>
  <c r="J372" i="18"/>
  <c r="J286" i="18"/>
  <c r="J300" i="18"/>
  <c r="J343" i="18"/>
  <c r="J358" i="18"/>
  <c r="J313" i="18"/>
  <c r="J389" i="18"/>
  <c r="J390" i="18"/>
  <c r="J387" i="18"/>
  <c r="J381" i="18"/>
  <c r="J376" i="18"/>
  <c r="J301" i="18"/>
  <c r="J312" i="18"/>
  <c r="J299" i="18"/>
  <c r="J287" i="18"/>
  <c r="J277" i="18"/>
  <c r="J374" i="18"/>
  <c r="J302" i="18"/>
  <c r="J314" i="18"/>
  <c r="J319" i="18"/>
  <c r="J246" i="18"/>
  <c r="J345" i="18"/>
  <c r="W400" i="18" l="1"/>
  <c r="J393" i="18"/>
  <c r="W398" i="18"/>
  <c r="J397" i="18"/>
  <c r="J1197" i="19"/>
  <c r="T1197" i="19" s="1"/>
  <c r="J1196" i="19"/>
  <c r="T1196" i="19" s="1"/>
  <c r="J395" i="18"/>
  <c r="J396" i="18"/>
  <c r="T1158" i="19"/>
  <c r="T1168" i="19"/>
  <c r="T1166" i="19"/>
  <c r="T1145" i="19"/>
  <c r="T1142" i="19"/>
  <c r="T1164" i="19"/>
  <c r="T1139" i="19"/>
  <c r="T1163" i="19"/>
  <c r="T1160" i="19"/>
  <c r="T1143" i="19"/>
  <c r="W393" i="18"/>
  <c r="W397" i="18"/>
  <c r="W394" i="18"/>
  <c r="W396" i="18"/>
  <c r="W395" i="18"/>
  <c r="W374" i="18"/>
  <c r="J15" i="20"/>
  <c r="U15" i="20" s="1"/>
  <c r="W376" i="18"/>
  <c r="W381" i="18"/>
  <c r="W387" i="18"/>
  <c r="W390" i="18"/>
  <c r="W389" i="18"/>
  <c r="W372" i="18"/>
  <c r="W373" i="18"/>
  <c r="W371" i="18"/>
  <c r="W375" i="18"/>
  <c r="W380" i="18"/>
  <c r="W378" i="18"/>
  <c r="J16" i="20"/>
  <c r="U16" i="20" s="1"/>
  <c r="W358" i="18"/>
  <c r="W349" i="18"/>
  <c r="W345" i="18"/>
  <c r="W343" i="18"/>
  <c r="W314" i="18"/>
  <c r="W312" i="18"/>
  <c r="W313" i="18"/>
  <c r="W316" i="18"/>
  <c r="W319" i="18"/>
  <c r="W318" i="18"/>
  <c r="T1064" i="19"/>
  <c r="T1060" i="19"/>
  <c r="T1061" i="19"/>
  <c r="W300" i="18"/>
  <c r="W299" i="18"/>
  <c r="W301" i="18"/>
  <c r="W293" i="18"/>
  <c r="W302" i="18"/>
  <c r="W286" i="18"/>
  <c r="W287" i="18"/>
  <c r="W265" i="18"/>
  <c r="T996" i="19"/>
  <c r="T995" i="19"/>
  <c r="T992" i="19"/>
  <c r="W246" i="18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4" i="20"/>
  <c r="J9" i="20"/>
  <c r="J2" i="20"/>
  <c r="J8" i="20"/>
  <c r="J3" i="20"/>
  <c r="J6" i="20"/>
  <c r="J10" i="20"/>
  <c r="J11" i="20"/>
  <c r="J7" i="20"/>
  <c r="J12" i="20"/>
  <c r="J14" i="20"/>
  <c r="J5" i="20"/>
  <c r="J13" i="20"/>
  <c r="J1123" i="19"/>
  <c r="J1132" i="19"/>
  <c r="J1126" i="19"/>
  <c r="J1176" i="19"/>
  <c r="J1144" i="19"/>
  <c r="J1162" i="19"/>
  <c r="J1122" i="19"/>
  <c r="J1192" i="19"/>
  <c r="J1149" i="19"/>
  <c r="J1188" i="19"/>
  <c r="J1129" i="19"/>
  <c r="J1134" i="19"/>
  <c r="J1175" i="19"/>
  <c r="J1155" i="19"/>
  <c r="J1127" i="19"/>
  <c r="J1054" i="19"/>
  <c r="J1062" i="19"/>
  <c r="J1114" i="19"/>
  <c r="J1055" i="19"/>
  <c r="J1051" i="19"/>
  <c r="J1112" i="19"/>
  <c r="J1046" i="19"/>
  <c r="J1109" i="19"/>
  <c r="J1084" i="19"/>
  <c r="J1099" i="19"/>
  <c r="J1047" i="19"/>
  <c r="J1097" i="19"/>
  <c r="J1071" i="19"/>
  <c r="J1094" i="19"/>
  <c r="J1066" i="19"/>
  <c r="J1110" i="19"/>
  <c r="J1118" i="19"/>
  <c r="J1068" i="19"/>
  <c r="J1057" i="19"/>
  <c r="J1045" i="19"/>
  <c r="J1107" i="19"/>
  <c r="J1106" i="19"/>
  <c r="J1121" i="19"/>
  <c r="J1141" i="19"/>
  <c r="J1178" i="19"/>
  <c r="J1140" i="19"/>
  <c r="J1086" i="19"/>
  <c r="J1067" i="19"/>
  <c r="J1082" i="19"/>
  <c r="J1072" i="19"/>
  <c r="J1059" i="19"/>
  <c r="J1050" i="19"/>
  <c r="J1181" i="19"/>
  <c r="J1136" i="19"/>
  <c r="J1147" i="19"/>
  <c r="J1151" i="19"/>
  <c r="J1191" i="19"/>
  <c r="J1172" i="19"/>
  <c r="J1125" i="19"/>
  <c r="J1193" i="19"/>
  <c r="J1189" i="19"/>
  <c r="J1120" i="19"/>
  <c r="J1130" i="19"/>
  <c r="J1124" i="19"/>
  <c r="J1133" i="19"/>
  <c r="J1187" i="19"/>
  <c r="J1154" i="19"/>
  <c r="J1128" i="19"/>
  <c r="J1069" i="19"/>
  <c r="J1048" i="19"/>
  <c r="J1078" i="19"/>
  <c r="J1098" i="19"/>
  <c r="J1058" i="19"/>
  <c r="J1073" i="19"/>
  <c r="J1095" i="19"/>
  <c r="J1044" i="19"/>
  <c r="J1092" i="19"/>
  <c r="J1113" i="19"/>
  <c r="J1076" i="19"/>
  <c r="J1108" i="19"/>
  <c r="J1053" i="19"/>
  <c r="J1088" i="19"/>
  <c r="J1075" i="19"/>
  <c r="J1111" i="19"/>
  <c r="J1074" i="19"/>
  <c r="J993" i="19"/>
  <c r="J1052" i="19"/>
  <c r="J1070" i="19"/>
  <c r="J1043" i="19"/>
  <c r="J1049" i="19"/>
  <c r="J1063" i="19"/>
  <c r="J1135" i="19"/>
  <c r="J1131" i="19"/>
  <c r="J1185" i="19"/>
  <c r="J1177" i="19"/>
  <c r="J1183" i="19"/>
  <c r="J1138" i="19"/>
  <c r="J1148" i="19"/>
  <c r="J1096" i="19"/>
  <c r="J1081" i="19"/>
  <c r="J1065" i="19"/>
  <c r="J1077" i="19"/>
  <c r="J1093" i="19"/>
  <c r="J1085" i="19"/>
  <c r="J1037" i="19"/>
  <c r="J1180" i="19"/>
  <c r="J1184" i="19"/>
  <c r="J1190" i="19"/>
  <c r="J1146" i="19"/>
  <c r="J1173" i="19"/>
  <c r="J1161" i="19"/>
  <c r="J1179" i="19"/>
  <c r="J1167" i="19"/>
  <c r="J1157" i="19"/>
  <c r="J1182" i="19"/>
  <c r="J1119" i="19"/>
  <c r="J1194" i="19"/>
  <c r="J1137" i="19"/>
  <c r="J1150" i="19"/>
  <c r="J1174" i="19"/>
  <c r="J1079" i="19"/>
  <c r="J1089" i="19"/>
  <c r="J1117" i="19"/>
  <c r="J1083" i="19"/>
  <c r="J1156" i="19"/>
  <c r="J1195" i="19"/>
  <c r="J1186" i="19"/>
  <c r="J1105" i="19"/>
  <c r="J1056" i="19"/>
  <c r="J1080" i="19"/>
  <c r="J392" i="18"/>
  <c r="J391" i="18"/>
  <c r="J274" i="18"/>
  <c r="J370" i="18"/>
  <c r="J305" i="18"/>
  <c r="J276" i="18"/>
  <c r="J332" i="18"/>
  <c r="J338" i="18"/>
  <c r="J352" i="18"/>
  <c r="J365" i="18"/>
  <c r="J341" i="18"/>
  <c r="J354" i="18"/>
  <c r="J304" i="18"/>
  <c r="J298" i="18"/>
  <c r="J291" i="18"/>
  <c r="J347" i="18"/>
  <c r="J275" i="18"/>
  <c r="J386" i="18"/>
  <c r="J359" i="18"/>
  <c r="J294" i="18"/>
  <c r="J328" i="18"/>
  <c r="J292" i="18"/>
  <c r="J367" i="18"/>
  <c r="J357" i="18"/>
  <c r="J364" i="18"/>
  <c r="J324" i="18"/>
  <c r="J333" i="18"/>
  <c r="J288" i="18"/>
  <c r="J284" i="18"/>
  <c r="J346" i="18"/>
  <c r="J278" i="18"/>
  <c r="J289" i="18"/>
  <c r="J342" i="18"/>
  <c r="J285" i="18"/>
  <c r="J279" i="18"/>
  <c r="J350" i="18"/>
  <c r="J280" i="18"/>
  <c r="J385" i="18"/>
  <c r="J384" i="18"/>
  <c r="J379" i="18"/>
  <c r="J388" i="18"/>
  <c r="J330" i="18"/>
  <c r="J297" i="18"/>
  <c r="J335" i="18"/>
  <c r="J321" i="18"/>
  <c r="J282" i="18"/>
  <c r="J353" i="18"/>
  <c r="J281" i="18"/>
  <c r="J369" i="18"/>
  <c r="J348" i="18"/>
  <c r="J334" i="18"/>
  <c r="J290" i="18"/>
  <c r="J307" i="18"/>
  <c r="J309" i="18"/>
  <c r="J308" i="18"/>
  <c r="J362" i="18"/>
  <c r="J323" i="18"/>
  <c r="J377" i="18"/>
  <c r="J383" i="18"/>
  <c r="J310" i="18"/>
  <c r="J256" i="18"/>
  <c r="J337" i="18"/>
  <c r="J320" i="18"/>
  <c r="J283" i="18"/>
  <c r="J303" i="18"/>
  <c r="J351" i="18"/>
  <c r="J340" i="18"/>
  <c r="J368" i="18"/>
  <c r="J311" i="18"/>
  <c r="J306" i="18"/>
  <c r="J336" i="18"/>
  <c r="J251" i="18"/>
  <c r="J339" i="18"/>
  <c r="J322" i="18"/>
  <c r="T1186" i="19" l="1"/>
  <c r="T1195" i="19"/>
  <c r="T1156" i="19"/>
  <c r="T1083" i="19"/>
  <c r="T1174" i="19"/>
  <c r="T1150" i="19"/>
  <c r="T1137" i="19"/>
  <c r="T1194" i="19"/>
  <c r="T1119" i="19"/>
  <c r="T1182" i="19"/>
  <c r="T1157" i="19"/>
  <c r="T1167" i="19"/>
  <c r="T1179" i="19"/>
  <c r="T1161" i="19"/>
  <c r="T1173" i="19"/>
  <c r="T1146" i="19"/>
  <c r="T1190" i="19"/>
  <c r="T1184" i="19"/>
  <c r="T1180" i="19"/>
  <c r="T1037" i="19"/>
  <c r="T1148" i="19"/>
  <c r="T1138" i="19"/>
  <c r="T1183" i="19"/>
  <c r="T1177" i="19"/>
  <c r="T1185" i="19"/>
  <c r="T1131" i="19"/>
  <c r="T1135" i="19"/>
  <c r="T1128" i="19"/>
  <c r="T1154" i="19"/>
  <c r="T1187" i="19"/>
  <c r="T1133" i="19"/>
  <c r="T1124" i="19"/>
  <c r="T1130" i="19"/>
  <c r="T1120" i="19"/>
  <c r="T1189" i="19"/>
  <c r="T1193" i="19"/>
  <c r="T1125" i="19"/>
  <c r="T1172" i="19"/>
  <c r="T1191" i="19"/>
  <c r="T1151" i="19"/>
  <c r="T1147" i="19"/>
  <c r="T1136" i="19"/>
  <c r="T1181" i="19"/>
  <c r="T1140" i="19"/>
  <c r="T1178" i="19"/>
  <c r="T1141" i="19"/>
  <c r="T1121" i="19"/>
  <c r="T1127" i="19"/>
  <c r="T1155" i="19"/>
  <c r="T1175" i="19"/>
  <c r="T1134" i="19"/>
  <c r="T1129" i="19"/>
  <c r="T1188" i="19"/>
  <c r="T1149" i="19"/>
  <c r="T1192" i="19"/>
  <c r="T1122" i="19"/>
  <c r="T1162" i="19"/>
  <c r="T1144" i="19"/>
  <c r="T1176" i="19"/>
  <c r="T1126" i="19"/>
  <c r="T1132" i="19"/>
  <c r="T1123" i="19"/>
  <c r="W383" i="18"/>
  <c r="W377" i="18"/>
  <c r="W388" i="18"/>
  <c r="W379" i="18"/>
  <c r="W384" i="18"/>
  <c r="W385" i="18"/>
  <c r="W294" i="18"/>
  <c r="W359" i="18"/>
  <c r="W386" i="18"/>
  <c r="W391" i="18"/>
  <c r="W392" i="18"/>
  <c r="W369" i="18"/>
  <c r="W370" i="18"/>
  <c r="W367" i="18"/>
  <c r="W368" i="18"/>
  <c r="W357" i="18"/>
  <c r="W324" i="18"/>
  <c r="W251" i="18"/>
  <c r="T1117" i="19"/>
  <c r="T1118" i="19"/>
  <c r="T1111" i="19"/>
  <c r="T1107" i="19"/>
  <c r="T1114" i="19"/>
  <c r="T1099" i="19"/>
  <c r="T1112" i="19"/>
  <c r="T1108" i="19"/>
  <c r="T1113" i="19"/>
  <c r="T1106" i="19"/>
  <c r="T1110" i="19"/>
  <c r="T1097" i="19"/>
  <c r="T1105" i="19"/>
  <c r="T1098" i="19"/>
  <c r="T1109" i="19"/>
  <c r="T1096" i="19"/>
  <c r="W365" i="18"/>
  <c r="W364" i="18"/>
  <c r="W362" i="18"/>
  <c r="U13" i="20"/>
  <c r="U5" i="20"/>
  <c r="U14" i="20"/>
  <c r="U12" i="20"/>
  <c r="U7" i="20"/>
  <c r="U11" i="20"/>
  <c r="U10" i="20"/>
  <c r="U6" i="20"/>
  <c r="U3" i="20"/>
  <c r="U8" i="20"/>
  <c r="U2" i="20"/>
  <c r="U9" i="20"/>
  <c r="U4" i="20"/>
  <c r="W352" i="18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C15" i="11" l="1"/>
  <c r="J983" i="19"/>
  <c r="J878" i="19"/>
  <c r="J320" i="19"/>
  <c r="J414" i="19"/>
  <c r="J946" i="19"/>
  <c r="J235" i="19"/>
  <c r="J84" i="19"/>
  <c r="J485" i="19"/>
  <c r="J510" i="19"/>
  <c r="J164" i="19"/>
  <c r="J802" i="19"/>
  <c r="J217" i="19"/>
  <c r="J57" i="19"/>
  <c r="J857" i="19"/>
  <c r="J168" i="19"/>
  <c r="J356" i="19"/>
  <c r="J981" i="19"/>
  <c r="J10" i="19"/>
  <c r="J919" i="19"/>
  <c r="J502" i="19"/>
  <c r="J470" i="19"/>
  <c r="J329" i="19"/>
  <c r="J37" i="19"/>
  <c r="J156" i="19"/>
  <c r="J257" i="19"/>
  <c r="J59" i="19"/>
  <c r="J322" i="19"/>
  <c r="J1020" i="19"/>
  <c r="J446" i="19"/>
  <c r="J16" i="19"/>
  <c r="J215" i="19"/>
  <c r="J624" i="19"/>
  <c r="J967" i="19"/>
  <c r="J1002" i="19"/>
  <c r="J590" i="19"/>
  <c r="J381" i="19"/>
  <c r="J793" i="19"/>
  <c r="J113" i="19"/>
  <c r="J260" i="19"/>
  <c r="J225" i="19"/>
  <c r="J222" i="19"/>
  <c r="J242" i="19"/>
  <c r="J586" i="19"/>
  <c r="J561" i="19"/>
  <c r="J1012" i="19"/>
  <c r="J167" i="19"/>
  <c r="J238" i="19"/>
  <c r="J954" i="19"/>
  <c r="J382" i="19"/>
  <c r="J363" i="19"/>
  <c r="J721" i="19"/>
  <c r="J254" i="19"/>
  <c r="J31" i="19"/>
  <c r="J290" i="19"/>
  <c r="J486" i="19"/>
  <c r="J366" i="19"/>
  <c r="J27" i="19"/>
  <c r="J770" i="19"/>
  <c r="J552" i="19"/>
  <c r="J79" i="19"/>
  <c r="J386" i="19"/>
  <c r="J588" i="19"/>
  <c r="J120" i="19"/>
  <c r="J786" i="19"/>
  <c r="J476" i="19"/>
  <c r="J247" i="19"/>
  <c r="J765" i="19"/>
  <c r="J787" i="19"/>
  <c r="J844" i="19"/>
  <c r="J591" i="19"/>
  <c r="J695" i="19"/>
  <c r="J978" i="19"/>
  <c r="J464" i="19"/>
  <c r="J711" i="19"/>
  <c r="J348" i="19"/>
  <c r="J40" i="19"/>
  <c r="J313" i="19"/>
  <c r="J279" i="19"/>
  <c r="J489" i="19"/>
  <c r="J935" i="19"/>
  <c r="J224" i="19"/>
  <c r="J649" i="19"/>
  <c r="J676" i="19"/>
  <c r="J332" i="19"/>
  <c r="J98" i="19"/>
  <c r="J709" i="19"/>
  <c r="J757" i="19"/>
  <c r="J163" i="19"/>
  <c r="J636" i="19"/>
  <c r="J193" i="19"/>
  <c r="J950" i="19"/>
  <c r="J380" i="19"/>
  <c r="J188" i="19"/>
  <c r="J375" i="19"/>
  <c r="J888" i="19"/>
  <c r="J417" i="19"/>
  <c r="J451" i="19"/>
  <c r="J65" i="19"/>
  <c r="J490" i="19"/>
  <c r="J66" i="19"/>
  <c r="J806" i="19"/>
  <c r="J38" i="19"/>
  <c r="J838" i="19"/>
  <c r="J503" i="19"/>
  <c r="J460" i="19"/>
  <c r="J783" i="19"/>
  <c r="J562" i="19"/>
  <c r="J1038" i="19"/>
  <c r="J751" i="19"/>
  <c r="J369" i="19"/>
  <c r="J860" i="19"/>
  <c r="J109" i="19"/>
  <c r="J234" i="19"/>
  <c r="J947" i="19"/>
  <c r="J733" i="19"/>
  <c r="J425" i="19"/>
  <c r="J998" i="19"/>
  <c r="J949" i="19"/>
  <c r="J943" i="19"/>
  <c r="J391" i="19"/>
  <c r="J393" i="19"/>
  <c r="J690" i="19"/>
  <c r="J26" i="19"/>
  <c r="J644" i="19"/>
  <c r="J859" i="19"/>
  <c r="J360" i="19"/>
  <c r="J24" i="19"/>
  <c r="J1034" i="19"/>
  <c r="J651" i="19"/>
  <c r="J573" i="19"/>
  <c r="J773" i="19"/>
  <c r="J1003" i="19"/>
  <c r="J443" i="19"/>
  <c r="J767" i="19"/>
  <c r="J645" i="19"/>
  <c r="J317" i="19"/>
  <c r="J572" i="19"/>
  <c r="J58" i="19"/>
  <c r="J331" i="19"/>
  <c r="J176" i="19"/>
  <c r="J775" i="19"/>
  <c r="J798" i="19"/>
  <c r="J647" i="19"/>
  <c r="J907" i="19"/>
  <c r="J826" i="19"/>
  <c r="J437" i="19"/>
  <c r="J103" i="19"/>
  <c r="J784" i="19"/>
  <c r="J36" i="19"/>
  <c r="J327" i="19"/>
  <c r="J185" i="19"/>
  <c r="J918" i="19"/>
  <c r="J15" i="19"/>
  <c r="J463" i="19"/>
  <c r="J158" i="19"/>
  <c r="J142" i="19"/>
  <c r="J3" i="19"/>
  <c r="J999" i="19"/>
  <c r="J248" i="19"/>
  <c r="J297" i="19"/>
  <c r="J570" i="19"/>
  <c r="J219" i="19"/>
  <c r="J32" i="19"/>
  <c r="J548" i="19"/>
  <c r="J76" i="19"/>
  <c r="J428" i="19"/>
  <c r="J769" i="19"/>
  <c r="J8" i="19"/>
  <c r="J236" i="19"/>
  <c r="J936" i="19"/>
  <c r="J667" i="19"/>
  <c r="J580" i="19"/>
  <c r="J587" i="19"/>
  <c r="J660" i="19"/>
  <c r="J231" i="19"/>
  <c r="J337" i="19"/>
  <c r="J220" i="19"/>
  <c r="J43" i="19"/>
  <c r="J232" i="19"/>
  <c r="J703" i="19"/>
  <c r="J138" i="19"/>
  <c r="J355" i="19"/>
  <c r="J685" i="19"/>
  <c r="J110" i="19"/>
  <c r="J264" i="19"/>
  <c r="J398" i="19"/>
  <c r="J447" i="19"/>
  <c r="J465" i="19"/>
  <c r="J732" i="19"/>
  <c r="J768" i="19"/>
  <c r="J239" i="19"/>
  <c r="J796" i="19"/>
  <c r="J82" i="19"/>
  <c r="J77" i="19"/>
  <c r="J335" i="19"/>
  <c r="J512" i="19"/>
  <c r="J371" i="19"/>
  <c r="J287" i="19"/>
  <c r="J620" i="19"/>
  <c r="J546" i="19"/>
  <c r="J538" i="19"/>
  <c r="J637" i="19"/>
  <c r="J973" i="19"/>
  <c r="J358" i="19"/>
  <c r="J629" i="19"/>
  <c r="J289" i="19"/>
  <c r="J402" i="19"/>
  <c r="J498" i="19"/>
  <c r="J869" i="19"/>
  <c r="J230" i="19"/>
  <c r="J718" i="19"/>
  <c r="J719" i="19"/>
  <c r="J499" i="19"/>
  <c r="J674" i="19"/>
  <c r="J298" i="19"/>
  <c r="J305" i="19"/>
  <c r="J772" i="19"/>
  <c r="J517" i="19"/>
  <c r="J453" i="19"/>
  <c r="J1029" i="19"/>
  <c r="J143" i="19"/>
  <c r="J405" i="19"/>
  <c r="J534" i="19"/>
  <c r="J178" i="19"/>
  <c r="J314" i="19"/>
  <c r="J458" i="19"/>
  <c r="J208" i="19"/>
  <c r="J743" i="19"/>
  <c r="J632" i="19"/>
  <c r="J801" i="19"/>
  <c r="J4" i="19"/>
  <c r="J515" i="19"/>
  <c r="J565" i="19"/>
  <c r="J1016" i="19"/>
  <c r="J628" i="19"/>
  <c r="J209" i="19"/>
  <c r="J122" i="19"/>
  <c r="J203" i="19"/>
  <c r="J846" i="19"/>
  <c r="J352" i="19"/>
  <c r="J407" i="19"/>
  <c r="J22" i="19"/>
  <c r="J226" i="19"/>
  <c r="J611" i="19"/>
  <c r="J403" i="19"/>
  <c r="J739" i="19"/>
  <c r="J891" i="19"/>
  <c r="J213" i="19"/>
  <c r="J921" i="19"/>
  <c r="J492" i="19"/>
  <c r="J413" i="19"/>
  <c r="J328" i="19"/>
  <c r="J245" i="19"/>
  <c r="J448" i="19"/>
  <c r="J357" i="19"/>
  <c r="J373" i="19"/>
  <c r="J902" i="19"/>
  <c r="J157" i="19"/>
  <c r="J633" i="19"/>
  <c r="J409" i="19"/>
  <c r="J469" i="19"/>
  <c r="J937" i="19"/>
  <c r="J688" i="19"/>
  <c r="J557" i="19"/>
  <c r="J7" i="19"/>
  <c r="J270" i="19"/>
  <c r="J820" i="19"/>
  <c r="J575" i="19"/>
  <c r="J861" i="19"/>
  <c r="J459" i="19"/>
  <c r="J410" i="19"/>
  <c r="J72" i="19"/>
  <c r="J70" i="19"/>
  <c r="J970" i="19"/>
  <c r="J782" i="19"/>
  <c r="J436" i="19"/>
  <c r="J39" i="19"/>
  <c r="J207" i="19"/>
  <c r="J361" i="19"/>
  <c r="J362" i="19"/>
  <c r="J905" i="19"/>
  <c r="J445" i="19"/>
  <c r="J766" i="19"/>
  <c r="J537" i="19"/>
  <c r="J90" i="19"/>
  <c r="J594" i="19"/>
  <c r="J900" i="19"/>
  <c r="J6" i="19"/>
  <c r="J221" i="19"/>
  <c r="J600" i="19"/>
  <c r="J901" i="19"/>
  <c r="J488" i="19"/>
  <c r="J749" i="19"/>
  <c r="J286" i="19"/>
  <c r="J265" i="19"/>
  <c r="J431" i="19"/>
  <c r="J365" i="19"/>
  <c r="J426" i="19"/>
  <c r="J497" i="19"/>
  <c r="J847" i="19"/>
  <c r="J518" i="19"/>
  <c r="J35" i="19"/>
  <c r="J81" i="19"/>
  <c r="J434" i="19"/>
  <c r="J1011" i="19"/>
  <c r="J472" i="19"/>
  <c r="J119" i="19"/>
  <c r="J994" i="19"/>
  <c r="J581" i="19"/>
  <c r="J661" i="19"/>
  <c r="J566" i="19"/>
  <c r="J764" i="19"/>
  <c r="J1026" i="19"/>
  <c r="J964" i="19"/>
  <c r="J438" i="19"/>
  <c r="J663" i="19"/>
  <c r="J650" i="19"/>
  <c r="J873" i="19"/>
  <c r="J547" i="19"/>
  <c r="J558" i="19"/>
  <c r="J240" i="19"/>
  <c r="J687" i="19"/>
  <c r="J106" i="19"/>
  <c r="J831" i="19"/>
  <c r="J108" i="19"/>
  <c r="J192" i="19"/>
  <c r="J528" i="19"/>
  <c r="J326" i="19"/>
  <c r="J11" i="19"/>
  <c r="J306" i="19"/>
  <c r="J416" i="19"/>
  <c r="J474" i="19"/>
  <c r="J659" i="19"/>
  <c r="J196" i="19"/>
  <c r="J592" i="19"/>
  <c r="J524" i="19"/>
  <c r="J513" i="19"/>
  <c r="J640" i="19"/>
  <c r="J338" i="19"/>
  <c r="J606" i="19"/>
  <c r="J34" i="19"/>
  <c r="J155" i="19"/>
  <c r="J69" i="19"/>
  <c r="J218" i="19"/>
  <c r="J623" i="19"/>
  <c r="J522" i="19"/>
  <c r="J61" i="19"/>
  <c r="J972" i="19"/>
  <c r="J508" i="19"/>
  <c r="J440" i="19"/>
  <c r="J627" i="19"/>
  <c r="J117" i="19"/>
  <c r="J1010" i="19"/>
  <c r="J968" i="19"/>
  <c r="J336" i="19"/>
  <c r="J887" i="19"/>
  <c r="J151" i="19"/>
  <c r="J114" i="19"/>
  <c r="J877" i="19"/>
  <c r="J25" i="19"/>
  <c r="J85" i="19"/>
  <c r="J1014" i="19"/>
  <c r="J456" i="19"/>
  <c r="J5" i="19"/>
  <c r="J837" i="19"/>
  <c r="J646" i="19"/>
  <c r="J277" i="19"/>
  <c r="J814" i="19"/>
  <c r="J197" i="19"/>
  <c r="J396" i="19"/>
  <c r="J930" i="19"/>
  <c r="J1025" i="19"/>
  <c r="J86" i="19"/>
  <c r="J531" i="19"/>
  <c r="J206" i="19"/>
  <c r="J760" i="19"/>
  <c r="J281" i="19"/>
  <c r="J169" i="19"/>
  <c r="J468" i="19"/>
  <c r="J691" i="19"/>
  <c r="J871" i="19"/>
  <c r="J433" i="19"/>
  <c r="J241" i="19"/>
  <c r="J514" i="19"/>
  <c r="J626" i="19"/>
  <c r="J845" i="19"/>
  <c r="J418" i="19"/>
  <c r="J982" i="19"/>
  <c r="J1001" i="19"/>
  <c r="J131" i="19"/>
  <c r="J310" i="19"/>
  <c r="J969" i="19"/>
  <c r="J190" i="19"/>
  <c r="J100" i="19"/>
  <c r="J875" i="19"/>
  <c r="J693" i="19"/>
  <c r="J797" i="19"/>
  <c r="J92" i="19"/>
  <c r="J752" i="19"/>
  <c r="J652" i="19"/>
  <c r="J341" i="19"/>
  <c r="J152" i="19"/>
  <c r="J249" i="19"/>
  <c r="J288" i="19"/>
  <c r="J858" i="19"/>
  <c r="J18" i="19"/>
  <c r="J350" i="19"/>
  <c r="J979" i="19"/>
  <c r="J609" i="19"/>
  <c r="J432" i="19"/>
  <c r="J578" i="19"/>
  <c r="J1031" i="19"/>
  <c r="J204" i="19"/>
  <c r="J325" i="19"/>
  <c r="J545" i="19"/>
  <c r="J585" i="19"/>
  <c r="J316" i="19"/>
  <c r="J401" i="19"/>
  <c r="J177" i="19"/>
  <c r="J444" i="19"/>
  <c r="J500" i="19"/>
  <c r="J342" i="19"/>
  <c r="J83" i="19"/>
  <c r="J745" i="19"/>
  <c r="J484" i="19"/>
  <c r="J237" i="19"/>
  <c r="J307" i="19"/>
  <c r="J390" i="19"/>
  <c r="J1017" i="19"/>
  <c r="J747" i="19"/>
  <c r="J889" i="19"/>
  <c r="J159" i="19"/>
  <c r="J843" i="19"/>
  <c r="J378" i="19"/>
  <c r="J435" i="19"/>
  <c r="J427" i="19"/>
  <c r="J353" i="19"/>
  <c r="J1039" i="19"/>
  <c r="J607" i="19"/>
  <c r="J556" i="19"/>
  <c r="J123" i="19"/>
  <c r="J706" i="19"/>
  <c r="J731" i="19"/>
  <c r="J883" i="19"/>
  <c r="J21" i="19"/>
  <c r="J367" i="19"/>
  <c r="J596" i="19"/>
  <c r="J568" i="19"/>
  <c r="J125" i="19"/>
  <c r="J550" i="19"/>
  <c r="J810" i="19"/>
  <c r="J830" i="19"/>
  <c r="J574" i="19"/>
  <c r="J577" i="19"/>
  <c r="J1021" i="19"/>
  <c r="J415" i="19"/>
  <c r="J653" i="19"/>
  <c r="J933" i="19"/>
  <c r="J526" i="19"/>
  <c r="J689" i="19"/>
  <c r="J1000" i="19"/>
  <c r="J955" i="19"/>
  <c r="J116" i="19"/>
  <c r="J666" i="19"/>
  <c r="J269" i="19"/>
  <c r="J205" i="19"/>
  <c r="J137" i="19"/>
  <c r="J520" i="19"/>
  <c r="J957" i="19"/>
  <c r="J91" i="19"/>
  <c r="J897" i="19"/>
  <c r="J804" i="19"/>
  <c r="J346" i="19"/>
  <c r="J345" i="19"/>
  <c r="J583" i="19"/>
  <c r="J571" i="19"/>
  <c r="J330" i="19"/>
  <c r="J906" i="19"/>
  <c r="J12" i="19"/>
  <c r="J101" i="19"/>
  <c r="J615" i="19"/>
  <c r="J144" i="19"/>
  <c r="J974" i="19"/>
  <c r="J511" i="19"/>
  <c r="J461" i="19"/>
  <c r="J370" i="19"/>
  <c r="J788" i="19"/>
  <c r="J29" i="19"/>
  <c r="J781" i="19"/>
  <c r="J839" i="19"/>
  <c r="J491" i="19"/>
  <c r="J179" i="19"/>
  <c r="J210" i="19"/>
  <c r="J430" i="19"/>
  <c r="J799" i="19"/>
  <c r="J88" i="19"/>
  <c r="J104" i="19"/>
  <c r="J827" i="19"/>
  <c r="J96" i="19"/>
  <c r="J384" i="19"/>
  <c r="J150" i="19"/>
  <c r="J911" i="19"/>
  <c r="J267" i="19"/>
  <c r="J128" i="19"/>
  <c r="J532" i="19"/>
  <c r="J124" i="19"/>
  <c r="J737" i="19"/>
  <c r="J542" i="19"/>
  <c r="J480" i="19"/>
  <c r="J723" i="19"/>
  <c r="J758" i="19"/>
  <c r="J922" i="19"/>
  <c r="J753" i="19"/>
  <c r="J312" i="19"/>
  <c r="J931" i="19"/>
  <c r="J593" i="19"/>
  <c r="J932" i="19"/>
  <c r="J479" i="19"/>
  <c r="J263" i="19"/>
  <c r="J699" i="19"/>
  <c r="J344" i="19"/>
  <c r="J863" i="19"/>
  <c r="J133" i="19"/>
  <c r="J46" i="19"/>
  <c r="J99" i="19"/>
  <c r="J812" i="19"/>
  <c r="J610" i="19"/>
  <c r="J720" i="19"/>
  <c r="J74" i="19"/>
  <c r="J13" i="19"/>
  <c r="J49" i="19"/>
  <c r="J657" i="19"/>
  <c r="J990" i="19"/>
  <c r="J182" i="19"/>
  <c r="J136" i="19"/>
  <c r="J105" i="19"/>
  <c r="J324" i="19"/>
  <c r="J439" i="19"/>
  <c r="J941" i="19"/>
  <c r="J165" i="19"/>
  <c r="J126" i="19"/>
  <c r="J80" i="19"/>
  <c r="J383" i="19"/>
  <c r="J71" i="19"/>
  <c r="J107" i="19"/>
  <c r="J97" i="19"/>
  <c r="J705" i="19"/>
  <c r="J1035" i="19"/>
  <c r="J579" i="19"/>
  <c r="J665" i="19"/>
  <c r="J73" i="19"/>
  <c r="J597" i="19"/>
  <c r="J134" i="19"/>
  <c r="J771" i="19"/>
  <c r="J523" i="19"/>
  <c r="J584" i="19"/>
  <c r="J899" i="19"/>
  <c r="J717" i="19"/>
  <c r="J75" i="19"/>
  <c r="J385" i="19"/>
  <c r="J885" i="19"/>
  <c r="J516" i="19"/>
  <c r="J62" i="19"/>
  <c r="J710" i="19"/>
  <c r="J251" i="19"/>
  <c r="J654" i="19"/>
  <c r="J536" i="19"/>
  <c r="J2" i="19"/>
  <c r="J855" i="19"/>
  <c r="J920" i="19"/>
  <c r="J14" i="19"/>
  <c r="J641" i="19"/>
  <c r="J311" i="19"/>
  <c r="J343" i="19"/>
  <c r="J441" i="19"/>
  <c r="J183" i="19"/>
  <c r="J376" i="19"/>
  <c r="J903" i="19"/>
  <c r="J509" i="19"/>
  <c r="J95" i="19"/>
  <c r="J41" i="19"/>
  <c r="J387" i="19"/>
  <c r="J822" i="19"/>
  <c r="J635" i="19"/>
  <c r="J389" i="19"/>
  <c r="J450" i="19"/>
  <c r="J917" i="19"/>
  <c r="J795" i="19"/>
  <c r="J762" i="19"/>
  <c r="J673" i="19"/>
  <c r="J364" i="19"/>
  <c r="J1019" i="19"/>
  <c r="J262" i="19"/>
  <c r="J493" i="19"/>
  <c r="J266" i="19"/>
  <c r="J47" i="19"/>
  <c r="J944" i="19"/>
  <c r="J94" i="19"/>
  <c r="J44" i="19"/>
  <c r="J829" i="19"/>
  <c r="J504" i="19"/>
  <c r="J339" i="19"/>
  <c r="J707" i="19"/>
  <c r="J789" i="19"/>
  <c r="J60" i="19"/>
  <c r="J527" i="19"/>
  <c r="J598" i="19"/>
  <c r="J102" i="19"/>
  <c r="J372" i="19"/>
  <c r="J780" i="19"/>
  <c r="J1033" i="19"/>
  <c r="J395" i="19"/>
  <c r="J803" i="19"/>
  <c r="J634" i="19"/>
  <c r="J824" i="19"/>
  <c r="J67" i="19"/>
  <c r="J309" i="19"/>
  <c r="J748" i="19"/>
  <c r="J759" i="19"/>
  <c r="J604" i="19"/>
  <c r="J892" i="19"/>
  <c r="J9" i="19"/>
  <c r="J228" i="19"/>
  <c r="J64" i="19"/>
  <c r="J945" i="19"/>
  <c r="J349" i="19"/>
  <c r="J28" i="19"/>
  <c r="J929" i="19"/>
  <c r="J170" i="19"/>
  <c r="J560" i="19"/>
  <c r="J258" i="19"/>
  <c r="J68" i="19"/>
  <c r="J864" i="19"/>
  <c r="J605" i="19"/>
  <c r="J318" i="19"/>
  <c r="J776" i="19"/>
  <c r="J631" i="19"/>
  <c r="J87" i="19"/>
  <c r="J535" i="19"/>
  <c r="J406" i="19"/>
  <c r="J308" i="19"/>
  <c r="J256" i="19"/>
  <c r="J93" i="19"/>
  <c r="J216" i="19"/>
  <c r="J823" i="19"/>
  <c r="J33" i="19"/>
  <c r="J23" i="19"/>
  <c r="J675" i="19"/>
  <c r="J368" i="19"/>
  <c r="J153" i="19"/>
  <c r="J496" i="19"/>
  <c r="J763" i="19"/>
  <c r="J48" i="19"/>
  <c r="J848" i="19"/>
  <c r="J467" i="19"/>
  <c r="J569" i="19"/>
  <c r="J487" i="19"/>
  <c r="J347" i="19"/>
  <c r="J132" i="19"/>
  <c r="J255" i="19"/>
  <c r="J681" i="19"/>
  <c r="J246" i="19"/>
  <c r="J778" i="19"/>
  <c r="J551" i="19"/>
  <c r="J642" i="19"/>
  <c r="J63" i="19"/>
  <c r="J734" i="19"/>
  <c r="J616" i="19"/>
  <c r="J191" i="19"/>
  <c r="J315" i="19"/>
  <c r="J671" i="19"/>
  <c r="J603" i="19"/>
  <c r="J704" i="19"/>
  <c r="J735" i="19"/>
  <c r="J777" i="19"/>
  <c r="J89" i="19"/>
  <c r="J17" i="19"/>
  <c r="J278" i="19"/>
  <c r="J694" i="19"/>
  <c r="J980" i="19"/>
  <c r="J630" i="19"/>
  <c r="J53" i="19"/>
  <c r="J680" i="19"/>
  <c r="J404" i="19"/>
  <c r="J966" i="19"/>
  <c r="J601" i="19"/>
  <c r="J539" i="19"/>
  <c r="J724" i="19"/>
  <c r="J449" i="19"/>
  <c r="J127" i="19"/>
  <c r="J171" i="19"/>
  <c r="J729" i="19"/>
  <c r="J541" i="19"/>
  <c r="J252" i="19"/>
  <c r="J589" i="19"/>
  <c r="J166" i="19"/>
  <c r="J118" i="19"/>
  <c r="J466" i="19"/>
  <c r="J662" i="19"/>
  <c r="J582" i="19"/>
  <c r="J800" i="19"/>
  <c r="J879" i="19"/>
  <c r="J78" i="19"/>
  <c r="J280" i="19"/>
  <c r="J774" i="19"/>
  <c r="J243" i="19"/>
  <c r="J111" i="19"/>
  <c r="J595" i="19"/>
  <c r="J388" i="19"/>
  <c r="J195" i="19"/>
  <c r="J340" i="19"/>
  <c r="J359" i="19"/>
  <c r="J567" i="19"/>
  <c r="J540" i="19"/>
  <c r="J45" i="19"/>
  <c r="J227" i="19"/>
  <c r="J323" i="19"/>
  <c r="J564" i="19"/>
  <c r="J462" i="19"/>
  <c r="J785" i="19"/>
  <c r="J792" i="19"/>
  <c r="J618" i="19"/>
  <c r="J475" i="19"/>
  <c r="J261" i="19"/>
  <c r="J457" i="19"/>
  <c r="J529" i="19"/>
  <c r="J379" i="19"/>
  <c r="J454" i="19"/>
  <c r="J828" i="19"/>
  <c r="J392" i="19"/>
  <c r="J154" i="19"/>
  <c r="J408" i="19"/>
  <c r="J808" i="19"/>
  <c r="J268" i="19"/>
  <c r="J821" i="19"/>
  <c r="J927" i="19"/>
  <c r="J779" i="19"/>
  <c r="J374" i="19"/>
  <c r="J725" i="19"/>
  <c r="J115" i="19"/>
  <c r="J746" i="19"/>
  <c r="J701" i="19"/>
  <c r="J377" i="19"/>
  <c r="J1015" i="19"/>
  <c r="J494" i="19"/>
  <c r="J180" i="19"/>
  <c r="J229" i="19"/>
  <c r="J54" i="19"/>
  <c r="J655" i="19"/>
  <c r="J442" i="19"/>
  <c r="J333" i="19"/>
  <c r="J233" i="19"/>
  <c r="J452" i="19"/>
  <c r="J886" i="19"/>
  <c r="J130" i="19"/>
  <c r="J30" i="19"/>
  <c r="J354" i="19"/>
  <c r="J638" i="19"/>
  <c r="J455" i="19"/>
  <c r="J533" i="19"/>
  <c r="J282" i="19"/>
  <c r="J519" i="19"/>
  <c r="J214" i="19"/>
  <c r="J321" i="19"/>
  <c r="J794" i="19"/>
  <c r="J874" i="19"/>
  <c r="J738" i="19"/>
  <c r="J807" i="19"/>
  <c r="J639" i="19"/>
  <c r="J818" i="19"/>
  <c r="J576" i="19"/>
  <c r="J700" i="19"/>
  <c r="J397" i="19"/>
  <c r="J677" i="19"/>
  <c r="J625" i="19"/>
  <c r="J250" i="19"/>
  <c r="J619" i="19"/>
  <c r="J20" i="19"/>
  <c r="J473" i="19"/>
  <c r="J112" i="19"/>
  <c r="J617" i="19"/>
  <c r="J478" i="19"/>
  <c r="J1032" i="19"/>
  <c r="J679" i="19"/>
  <c r="J643" i="19"/>
  <c r="J761" i="19"/>
  <c r="J872" i="19"/>
  <c r="J394" i="19"/>
  <c r="J351" i="19"/>
  <c r="J181" i="19"/>
  <c r="J521" i="19"/>
  <c r="J648" i="19"/>
  <c r="J334" i="19"/>
  <c r="J121" i="19"/>
  <c r="J656" i="19"/>
  <c r="J223" i="19"/>
  <c r="J184" i="19"/>
  <c r="J253" i="19"/>
  <c r="J912" i="19"/>
  <c r="J530" i="19"/>
  <c r="J544" i="19"/>
  <c r="J956" i="19"/>
  <c r="J429" i="19"/>
  <c r="J259" i="19"/>
  <c r="J865" i="19"/>
  <c r="J162" i="19"/>
  <c r="J563" i="19"/>
  <c r="J319" i="19"/>
  <c r="J559" i="19"/>
  <c r="J809" i="19"/>
  <c r="J525" i="19"/>
  <c r="J19" i="19"/>
  <c r="J244" i="19"/>
  <c r="J893" i="19"/>
  <c r="J285" i="19"/>
  <c r="J599" i="19"/>
  <c r="J715" i="19"/>
  <c r="J813" i="19"/>
  <c r="J69" i="18"/>
  <c r="J22" i="18"/>
  <c r="J173" i="18"/>
  <c r="J17" i="18"/>
  <c r="J148" i="18"/>
  <c r="J207" i="18"/>
  <c r="J247" i="18"/>
  <c r="J180" i="18"/>
  <c r="J128" i="18"/>
  <c r="J143" i="18"/>
  <c r="J150" i="18"/>
  <c r="J163" i="18"/>
  <c r="J104" i="18"/>
  <c r="J240" i="18"/>
  <c r="J179" i="18"/>
  <c r="J87" i="18"/>
  <c r="J112" i="18"/>
  <c r="J154" i="18"/>
  <c r="J157" i="18"/>
  <c r="J58" i="18"/>
  <c r="J35" i="18"/>
  <c r="J80" i="18"/>
  <c r="J86" i="18"/>
  <c r="J28" i="18"/>
  <c r="J172" i="18"/>
  <c r="J76" i="18"/>
  <c r="J34" i="18"/>
  <c r="J141" i="18"/>
  <c r="J159" i="18"/>
  <c r="J146" i="18"/>
  <c r="J90" i="18"/>
  <c r="J185" i="18"/>
  <c r="J171" i="18"/>
  <c r="J135" i="18"/>
  <c r="J85" i="18"/>
  <c r="J42" i="18"/>
  <c r="J192" i="18"/>
  <c r="J248" i="18"/>
  <c r="J199" i="18"/>
  <c r="J164" i="18"/>
  <c r="J103" i="18"/>
  <c r="J137" i="18"/>
  <c r="J19" i="18"/>
  <c r="J32" i="18"/>
  <c r="J149" i="18"/>
  <c r="J37" i="18"/>
  <c r="J93" i="18"/>
  <c r="J44" i="18"/>
  <c r="J204" i="18"/>
  <c r="J183" i="18"/>
  <c r="J110" i="18"/>
  <c r="J215" i="18"/>
  <c r="J175" i="18"/>
  <c r="J40" i="18"/>
  <c r="J218" i="18"/>
  <c r="J125" i="18"/>
  <c r="J113" i="18"/>
  <c r="J88" i="18"/>
  <c r="J13" i="18"/>
  <c r="J160" i="18"/>
  <c r="J74" i="18"/>
  <c r="J26" i="18"/>
  <c r="J249" i="18"/>
  <c r="J243" i="18"/>
  <c r="J127" i="18"/>
  <c r="J33" i="18"/>
  <c r="J115" i="18"/>
  <c r="J209" i="18"/>
  <c r="J268" i="18"/>
  <c r="J177" i="18"/>
  <c r="J39" i="18"/>
  <c r="J136" i="18"/>
  <c r="J170" i="18"/>
  <c r="J18" i="18"/>
  <c r="J167" i="18"/>
  <c r="J101" i="18"/>
  <c r="J134" i="18"/>
  <c r="J191" i="18"/>
  <c r="J98" i="18"/>
  <c r="J27" i="18"/>
  <c r="J24" i="18"/>
  <c r="J263" i="18"/>
  <c r="J190" i="18"/>
  <c r="J184" i="18"/>
  <c r="J102" i="18"/>
  <c r="J267" i="18"/>
  <c r="J202" i="18"/>
  <c r="J158" i="18"/>
  <c r="J198" i="18"/>
  <c r="J254" i="18"/>
  <c r="J30" i="18"/>
  <c r="J140" i="18"/>
  <c r="J176" i="18"/>
  <c r="J60" i="18"/>
  <c r="J165" i="18"/>
  <c r="J108" i="18"/>
  <c r="J72" i="18"/>
  <c r="J260" i="18"/>
  <c r="J79" i="18"/>
  <c r="J264" i="18"/>
  <c r="J97" i="18"/>
  <c r="J52" i="18"/>
  <c r="J257" i="18"/>
  <c r="J152" i="18"/>
  <c r="J12" i="18"/>
  <c r="J219" i="18"/>
  <c r="J114" i="18"/>
  <c r="J100" i="18"/>
  <c r="J132" i="18"/>
  <c r="J178" i="18"/>
  <c r="J210" i="18"/>
  <c r="J57" i="18"/>
  <c r="J226" i="18"/>
  <c r="J36" i="18"/>
  <c r="J96" i="18"/>
  <c r="J194" i="18"/>
  <c r="J155" i="18"/>
  <c r="J237" i="18"/>
  <c r="J43" i="18"/>
  <c r="J89" i="18"/>
  <c r="J273" i="18"/>
  <c r="J78" i="18"/>
  <c r="J61" i="18"/>
  <c r="J133" i="18"/>
  <c r="J16" i="18"/>
  <c r="J95" i="18"/>
  <c r="J272" i="18"/>
  <c r="J130" i="18"/>
  <c r="J129" i="18"/>
  <c r="J239" i="18"/>
  <c r="J121" i="18"/>
  <c r="J75" i="18"/>
  <c r="J124" i="18"/>
  <c r="J169" i="18"/>
  <c r="J206" i="18"/>
  <c r="J242" i="18"/>
  <c r="J54" i="18"/>
  <c r="J197" i="18"/>
  <c r="J68" i="18"/>
  <c r="J234" i="18"/>
  <c r="J182" i="18"/>
  <c r="J11" i="18"/>
  <c r="J200" i="18"/>
  <c r="J116" i="18"/>
  <c r="J47" i="18"/>
  <c r="J212" i="18"/>
  <c r="J126" i="18"/>
  <c r="J31" i="18"/>
  <c r="J109" i="18"/>
  <c r="J166" i="18"/>
  <c r="J6" i="18"/>
  <c r="J65" i="18"/>
  <c r="J188" i="18"/>
  <c r="J66" i="18"/>
  <c r="J5" i="18"/>
  <c r="J233" i="18"/>
  <c r="J106" i="18"/>
  <c r="J181" i="18"/>
  <c r="J92" i="18"/>
  <c r="J71" i="18"/>
  <c r="J21" i="18"/>
  <c r="J196" i="18"/>
  <c r="J187" i="18"/>
  <c r="J217" i="18"/>
  <c r="J64" i="18"/>
  <c r="J201" i="18"/>
  <c r="J195" i="18"/>
  <c r="J105" i="18"/>
  <c r="J250" i="18"/>
  <c r="J262" i="18"/>
  <c r="J84" i="18"/>
  <c r="J208" i="18"/>
  <c r="J261" i="18"/>
  <c r="J259" i="18"/>
  <c r="J241" i="18"/>
  <c r="J67" i="18"/>
  <c r="J91" i="18"/>
  <c r="J117" i="18"/>
  <c r="J145" i="18"/>
  <c r="J25" i="18"/>
  <c r="J231" i="18"/>
  <c r="J107" i="18"/>
  <c r="J111" i="18"/>
  <c r="J193" i="18"/>
  <c r="J244" i="18"/>
  <c r="J50" i="18"/>
  <c r="J119" i="18"/>
  <c r="J144" i="18"/>
  <c r="J139" i="18"/>
  <c r="J189" i="18"/>
  <c r="J8" i="18"/>
  <c r="J153" i="18"/>
  <c r="J270" i="18"/>
  <c r="J168" i="18"/>
  <c r="J214" i="18"/>
  <c r="J211" i="18"/>
  <c r="J205" i="18"/>
  <c r="J238" i="18"/>
  <c r="J258" i="18"/>
  <c r="J49" i="18"/>
  <c r="J7" i="18"/>
  <c r="J147" i="18"/>
  <c r="J230" i="18"/>
  <c r="J55" i="18"/>
  <c r="J236" i="18"/>
  <c r="J73" i="18"/>
  <c r="J225" i="18"/>
  <c r="J63" i="18"/>
  <c r="J245" i="18"/>
  <c r="J253" i="18"/>
  <c r="J138" i="18"/>
  <c r="J252" i="18"/>
  <c r="J62" i="18"/>
  <c r="J271" i="18"/>
  <c r="J255" i="18"/>
  <c r="J203" i="18"/>
  <c r="J118" i="18"/>
  <c r="J232" i="18"/>
  <c r="J131" i="18"/>
  <c r="J151" i="18"/>
  <c r="J186" i="18"/>
  <c r="J94" i="18"/>
  <c r="J174" i="18"/>
  <c r="J20" i="18"/>
  <c r="J269" i="18"/>
  <c r="J216" i="18"/>
  <c r="J81" i="18"/>
  <c r="J14" i="18"/>
  <c r="J29" i="18"/>
  <c r="J228" i="18"/>
  <c r="T634" i="19" l="1"/>
  <c r="T629" i="19"/>
  <c r="T358" i="19"/>
  <c r="T813" i="19"/>
  <c r="T803" i="19"/>
  <c r="T609" i="19"/>
  <c r="T973" i="19"/>
  <c r="T715" i="19"/>
  <c r="T395" i="19"/>
  <c r="T979" i="19"/>
  <c r="T637" i="19"/>
  <c r="T599" i="19"/>
  <c r="T1033" i="19"/>
  <c r="T350" i="19"/>
  <c r="T538" i="19"/>
  <c r="T285" i="19"/>
  <c r="T780" i="19"/>
  <c r="T18" i="19"/>
  <c r="T546" i="19"/>
  <c r="T893" i="19"/>
  <c r="T372" i="19"/>
  <c r="T858" i="19"/>
  <c r="T620" i="19"/>
  <c r="T244" i="19"/>
  <c r="T102" i="19"/>
  <c r="T288" i="19"/>
  <c r="T287" i="19"/>
  <c r="T19" i="19"/>
  <c r="T598" i="19"/>
  <c r="T249" i="19"/>
  <c r="T371" i="19"/>
  <c r="T525" i="19"/>
  <c r="T527" i="19"/>
  <c r="T152" i="19"/>
  <c r="T512" i="19"/>
  <c r="T809" i="19"/>
  <c r="T60" i="19"/>
  <c r="T341" i="19"/>
  <c r="T335" i="19"/>
  <c r="T559" i="19"/>
  <c r="T789" i="19"/>
  <c r="T652" i="19"/>
  <c r="T77" i="19"/>
  <c r="T319" i="19"/>
  <c r="T707" i="19"/>
  <c r="T752" i="19"/>
  <c r="T82" i="19"/>
  <c r="T563" i="19"/>
  <c r="T339" i="19"/>
  <c r="T92" i="19"/>
  <c r="T796" i="19"/>
  <c r="T162" i="19"/>
  <c r="T504" i="19"/>
  <c r="T797" i="19"/>
  <c r="T239" i="19"/>
  <c r="T865" i="19"/>
  <c r="T829" i="19"/>
  <c r="T693" i="19"/>
  <c r="T768" i="19"/>
  <c r="T259" i="19"/>
  <c r="T44" i="19"/>
  <c r="T875" i="19"/>
  <c r="T732" i="19"/>
  <c r="T429" i="19"/>
  <c r="T94" i="19"/>
  <c r="T100" i="19"/>
  <c r="T465" i="19"/>
  <c r="T956" i="19"/>
  <c r="T944" i="19"/>
  <c r="T190" i="19"/>
  <c r="T447" i="19"/>
  <c r="T544" i="19"/>
  <c r="T47" i="19"/>
  <c r="T969" i="19"/>
  <c r="T398" i="19"/>
  <c r="T530" i="19"/>
  <c r="T266" i="19"/>
  <c r="T310" i="19"/>
  <c r="T264" i="19"/>
  <c r="T912" i="19"/>
  <c r="T493" i="19"/>
  <c r="T131" i="19"/>
  <c r="T110" i="19"/>
  <c r="T253" i="19"/>
  <c r="T262" i="19"/>
  <c r="T1001" i="19"/>
  <c r="T685" i="19"/>
  <c r="T184" i="19"/>
  <c r="T1019" i="19"/>
  <c r="T982" i="19"/>
  <c r="T355" i="19"/>
  <c r="T223" i="19"/>
  <c r="T364" i="19"/>
  <c r="T418" i="19"/>
  <c r="T138" i="19"/>
  <c r="T656" i="19"/>
  <c r="T673" i="19"/>
  <c r="T845" i="19"/>
  <c r="T703" i="19"/>
  <c r="T121" i="19"/>
  <c r="T762" i="19"/>
  <c r="T626" i="19"/>
  <c r="T232" i="19"/>
  <c r="T334" i="19"/>
  <c r="T795" i="19"/>
  <c r="T514" i="19"/>
  <c r="T43" i="19"/>
  <c r="T648" i="19"/>
  <c r="T917" i="19"/>
  <c r="T241" i="19"/>
  <c r="T220" i="19"/>
  <c r="T521" i="19"/>
  <c r="T450" i="19"/>
  <c r="T433" i="19"/>
  <c r="T337" i="19"/>
  <c r="T181" i="19"/>
  <c r="T389" i="19"/>
  <c r="T871" i="19"/>
  <c r="T231" i="19"/>
  <c r="T351" i="19"/>
  <c r="T635" i="19"/>
  <c r="T691" i="19"/>
  <c r="T660" i="19"/>
  <c r="T394" i="19"/>
  <c r="T822" i="19"/>
  <c r="T468" i="19"/>
  <c r="T587" i="19"/>
  <c r="T872" i="19"/>
  <c r="T387" i="19"/>
  <c r="T169" i="19"/>
  <c r="T580" i="19"/>
  <c r="T761" i="19"/>
  <c r="T41" i="19"/>
  <c r="T281" i="19"/>
  <c r="T667" i="19"/>
  <c r="T643" i="19"/>
  <c r="T95" i="19"/>
  <c r="T760" i="19"/>
  <c r="T936" i="19"/>
  <c r="T679" i="19"/>
  <c r="T509" i="19"/>
  <c r="T206" i="19"/>
  <c r="T236" i="19"/>
  <c r="T1032" i="19"/>
  <c r="T903" i="19"/>
  <c r="T531" i="19"/>
  <c r="T8" i="19"/>
  <c r="T478" i="19"/>
  <c r="T376" i="19"/>
  <c r="T86" i="19"/>
  <c r="T769" i="19"/>
  <c r="T617" i="19"/>
  <c r="T183" i="19"/>
  <c r="T1025" i="19"/>
  <c r="T428" i="19"/>
  <c r="T112" i="19"/>
  <c r="T441" i="19"/>
  <c r="T930" i="19"/>
  <c r="T76" i="19"/>
  <c r="T473" i="19"/>
  <c r="T343" i="19"/>
  <c r="T396" i="19"/>
  <c r="T548" i="19"/>
  <c r="T20" i="19"/>
  <c r="T311" i="19"/>
  <c r="T197" i="19"/>
  <c r="T32" i="19"/>
  <c r="T619" i="19"/>
  <c r="T641" i="19"/>
  <c r="T814" i="19"/>
  <c r="T219" i="19"/>
  <c r="T250" i="19"/>
  <c r="T14" i="19"/>
  <c r="T277" i="19"/>
  <c r="T570" i="19"/>
  <c r="T625" i="19"/>
  <c r="T920" i="19"/>
  <c r="T646" i="19"/>
  <c r="T297" i="19"/>
  <c r="T677" i="19"/>
  <c r="T855" i="19"/>
  <c r="T837" i="19"/>
  <c r="T248" i="19"/>
  <c r="T397" i="19"/>
  <c r="T2" i="19"/>
  <c r="T5" i="19"/>
  <c r="T999" i="19"/>
  <c r="T700" i="19"/>
  <c r="T536" i="19"/>
  <c r="T456" i="19"/>
  <c r="T3" i="19"/>
  <c r="T576" i="19"/>
  <c r="T654" i="19"/>
  <c r="T1014" i="19"/>
  <c r="T142" i="19"/>
  <c r="T818" i="19"/>
  <c r="T251" i="19"/>
  <c r="T85" i="19"/>
  <c r="T158" i="19"/>
  <c r="T639" i="19"/>
  <c r="T710" i="19"/>
  <c r="T25" i="19"/>
  <c r="T463" i="19"/>
  <c r="T807" i="19"/>
  <c r="T62" i="19"/>
  <c r="T877" i="19"/>
  <c r="T15" i="19"/>
  <c r="T738" i="19"/>
  <c r="T516" i="19"/>
  <c r="T114" i="19"/>
  <c r="T918" i="19"/>
  <c r="T874" i="19"/>
  <c r="T885" i="19"/>
  <c r="T151" i="19"/>
  <c r="T185" i="19"/>
  <c r="T794" i="19"/>
  <c r="T385" i="19"/>
  <c r="T887" i="19"/>
  <c r="T327" i="19"/>
  <c r="T321" i="19"/>
  <c r="T75" i="19"/>
  <c r="T336" i="19"/>
  <c r="T36" i="19"/>
  <c r="T214" i="19"/>
  <c r="T717" i="19"/>
  <c r="T968" i="19"/>
  <c r="T784" i="19"/>
  <c r="T519" i="19"/>
  <c r="T899" i="19"/>
  <c r="W179" i="18"/>
  <c r="W196" i="18"/>
  <c r="W54" i="18"/>
  <c r="W26" i="18"/>
  <c r="W245" i="18"/>
  <c r="W76" i="18"/>
  <c r="W25" i="18"/>
  <c r="W175" i="18"/>
  <c r="W110" i="18"/>
  <c r="W268" i="18"/>
  <c r="W30" i="18"/>
  <c r="W260" i="18"/>
  <c r="W116" i="18"/>
  <c r="W36" i="18"/>
  <c r="W203" i="18"/>
  <c r="W8" i="18"/>
  <c r="W119" i="18"/>
  <c r="W12" i="18"/>
  <c r="W27" i="18"/>
  <c r="W17" i="18"/>
  <c r="W88" i="18"/>
  <c r="W238" i="18"/>
  <c r="W78" i="18"/>
  <c r="W198" i="18"/>
  <c r="W174" i="18"/>
  <c r="W150" i="18"/>
  <c r="W250" i="18"/>
  <c r="W164" i="18"/>
  <c r="W202" i="18"/>
  <c r="W225" i="18"/>
  <c r="W181" i="18"/>
  <c r="W124" i="18"/>
  <c r="W129" i="18"/>
  <c r="W93" i="18"/>
  <c r="W80" i="18"/>
  <c r="W67" i="18"/>
  <c r="W6" i="18"/>
  <c r="W234" i="18"/>
  <c r="W127" i="18"/>
  <c r="W269" i="18"/>
  <c r="W64" i="18"/>
  <c r="W111" i="18"/>
  <c r="W171" i="18"/>
  <c r="W252" i="18"/>
  <c r="W159" i="18"/>
  <c r="W125" i="18"/>
  <c r="W97" i="18"/>
  <c r="W101" i="18"/>
  <c r="W136" i="18"/>
  <c r="W131" i="18"/>
  <c r="W168" i="18"/>
  <c r="W237" i="18"/>
  <c r="W228" i="18"/>
  <c r="W190" i="18"/>
  <c r="W247" i="18"/>
  <c r="W195" i="18"/>
  <c r="W100" i="18"/>
  <c r="W16" i="18"/>
  <c r="T1010" i="19"/>
  <c r="T103" i="19"/>
  <c r="T282" i="19"/>
  <c r="T584" i="19"/>
  <c r="T117" i="19"/>
  <c r="T437" i="19"/>
  <c r="T533" i="19"/>
  <c r="T523" i="19"/>
  <c r="T627" i="19"/>
  <c r="T826" i="19"/>
  <c r="T455" i="19"/>
  <c r="T771" i="19"/>
  <c r="T440" i="19"/>
  <c r="T907" i="19"/>
  <c r="T638" i="19"/>
  <c r="T134" i="19"/>
  <c r="T508" i="19"/>
  <c r="T647" i="19"/>
  <c r="T354" i="19"/>
  <c r="T597" i="19"/>
  <c r="T972" i="19"/>
  <c r="T798" i="19"/>
  <c r="T30" i="19"/>
  <c r="T73" i="19"/>
  <c r="T61" i="19"/>
  <c r="T775" i="19"/>
  <c r="T130" i="19"/>
  <c r="T665" i="19"/>
  <c r="T522" i="19"/>
  <c r="T176" i="19"/>
  <c r="T886" i="19"/>
  <c r="T579" i="19"/>
  <c r="T623" i="19"/>
  <c r="T331" i="19"/>
  <c r="T452" i="19"/>
  <c r="T1035" i="19"/>
  <c r="T218" i="19"/>
  <c r="T58" i="19"/>
  <c r="T233" i="19"/>
  <c r="T705" i="19"/>
  <c r="T69" i="19"/>
  <c r="T572" i="19"/>
  <c r="T333" i="19"/>
  <c r="T97" i="19"/>
  <c r="T155" i="19"/>
  <c r="T317" i="19"/>
  <c r="T442" i="19"/>
  <c r="T107" i="19"/>
  <c r="T34" i="19"/>
  <c r="T645" i="19"/>
  <c r="T655" i="19"/>
  <c r="T71" i="19"/>
  <c r="T606" i="19"/>
  <c r="T767" i="19"/>
  <c r="T54" i="19"/>
  <c r="T383" i="19"/>
  <c r="T338" i="19"/>
  <c r="T443" i="19"/>
  <c r="T229" i="19"/>
  <c r="T80" i="19"/>
  <c r="T640" i="19"/>
  <c r="T1003" i="19"/>
  <c r="T180" i="19"/>
  <c r="T126" i="19"/>
  <c r="T513" i="19"/>
  <c r="T773" i="19"/>
  <c r="T494" i="19"/>
  <c r="T165" i="19"/>
  <c r="T524" i="19"/>
  <c r="T573" i="19"/>
  <c r="T1015" i="19"/>
  <c r="T941" i="19"/>
  <c r="T592" i="19"/>
  <c r="T651" i="19"/>
  <c r="T377" i="19"/>
  <c r="T439" i="19"/>
  <c r="T196" i="19"/>
  <c r="T1034" i="19"/>
  <c r="T701" i="19"/>
  <c r="T324" i="19"/>
  <c r="T659" i="19"/>
  <c r="T24" i="19"/>
  <c r="T746" i="19"/>
  <c r="T105" i="19"/>
  <c r="T474" i="19"/>
  <c r="T360" i="19"/>
  <c r="T115" i="19"/>
  <c r="T136" i="19"/>
  <c r="T416" i="19"/>
  <c r="T859" i="19"/>
  <c r="T725" i="19"/>
  <c r="T182" i="19"/>
  <c r="T306" i="19"/>
  <c r="T644" i="19"/>
  <c r="T374" i="19"/>
  <c r="T990" i="19"/>
  <c r="T11" i="19"/>
  <c r="T26" i="19"/>
  <c r="T779" i="19"/>
  <c r="T657" i="19"/>
  <c r="T326" i="19"/>
  <c r="T690" i="19"/>
  <c r="T927" i="19"/>
  <c r="T49" i="19"/>
  <c r="T528" i="19"/>
  <c r="T393" i="19"/>
  <c r="T821" i="19"/>
  <c r="T13" i="19"/>
  <c r="T192" i="19"/>
  <c r="T391" i="19"/>
  <c r="T268" i="19"/>
  <c r="T74" i="19"/>
  <c r="T108" i="19"/>
  <c r="T943" i="19"/>
  <c r="T808" i="19"/>
  <c r="T720" i="19"/>
  <c r="T831" i="19"/>
  <c r="T949" i="19"/>
  <c r="T408" i="19"/>
  <c r="T610" i="19"/>
  <c r="T106" i="19"/>
  <c r="T998" i="19"/>
  <c r="T154" i="19"/>
  <c r="T812" i="19"/>
  <c r="T687" i="19"/>
  <c r="T425" i="19"/>
  <c r="T392" i="19"/>
  <c r="T99" i="19"/>
  <c r="T240" i="19"/>
  <c r="T733" i="19"/>
  <c r="T828" i="19"/>
  <c r="T46" i="19"/>
  <c r="T558" i="19"/>
  <c r="T947" i="19"/>
  <c r="T454" i="19"/>
  <c r="T133" i="19"/>
  <c r="T547" i="19"/>
  <c r="T234" i="19"/>
  <c r="T379" i="19"/>
  <c r="T863" i="19"/>
  <c r="T873" i="19"/>
  <c r="T109" i="19"/>
  <c r="T529" i="19"/>
  <c r="T344" i="19"/>
  <c r="T650" i="19"/>
  <c r="T860" i="19"/>
  <c r="T457" i="19"/>
  <c r="T699" i="19"/>
  <c r="T663" i="19"/>
  <c r="T369" i="19"/>
  <c r="T261" i="19"/>
  <c r="T263" i="19"/>
  <c r="T438" i="19"/>
  <c r="T751" i="19"/>
  <c r="T475" i="19"/>
  <c r="T479" i="19"/>
  <c r="T964" i="19"/>
  <c r="T1038" i="19"/>
  <c r="T618" i="19"/>
  <c r="T932" i="19"/>
  <c r="T1026" i="19"/>
  <c r="T562" i="19"/>
  <c r="T792" i="19"/>
  <c r="T593" i="19"/>
  <c r="T764" i="19"/>
  <c r="T783" i="19"/>
  <c r="T785" i="19"/>
  <c r="T931" i="19"/>
  <c r="T566" i="19"/>
  <c r="T460" i="19"/>
  <c r="T462" i="19"/>
  <c r="T312" i="19"/>
  <c r="T661" i="19"/>
  <c r="T503" i="19"/>
  <c r="T564" i="19"/>
  <c r="T753" i="19"/>
  <c r="T581" i="19"/>
  <c r="T838" i="19"/>
  <c r="T323" i="19"/>
  <c r="T922" i="19"/>
  <c r="T994" i="19"/>
  <c r="T38" i="19"/>
  <c r="T227" i="19"/>
  <c r="T758" i="19"/>
  <c r="T119" i="19"/>
  <c r="T806" i="19"/>
  <c r="T45" i="19"/>
  <c r="T723" i="19"/>
  <c r="T472" i="19"/>
  <c r="T66" i="19"/>
  <c r="T540" i="19"/>
  <c r="T480" i="19"/>
  <c r="T1011" i="19"/>
  <c r="T490" i="19"/>
  <c r="T567" i="19"/>
  <c r="T542" i="19"/>
  <c r="T434" i="19"/>
  <c r="W66" i="18"/>
  <c r="W7" i="18"/>
  <c r="W109" i="18"/>
  <c r="W57" i="18"/>
  <c r="W154" i="18"/>
  <c r="W240" i="18"/>
  <c r="W21" i="18"/>
  <c r="W19" i="18"/>
  <c r="W74" i="18"/>
  <c r="W60" i="18"/>
  <c r="W172" i="18"/>
  <c r="W242" i="18"/>
  <c r="W90" i="18"/>
  <c r="W183" i="18"/>
  <c r="W209" i="18"/>
  <c r="W145" i="18"/>
  <c r="W72" i="18"/>
  <c r="W200" i="18"/>
  <c r="W14" i="18"/>
  <c r="W236" i="18"/>
  <c r="W189" i="18"/>
  <c r="W50" i="18"/>
  <c r="W152" i="18"/>
  <c r="W255" i="18"/>
  <c r="W173" i="18"/>
  <c r="W208" i="18"/>
  <c r="W205" i="18"/>
  <c r="W98" i="18"/>
  <c r="W178" i="18"/>
  <c r="W94" i="18"/>
  <c r="W143" i="18"/>
  <c r="W273" i="18"/>
  <c r="W199" i="18"/>
  <c r="W267" i="18"/>
  <c r="W140" i="18"/>
  <c r="W40" i="18"/>
  <c r="W75" i="18"/>
  <c r="W130" i="18"/>
  <c r="W37" i="18"/>
  <c r="W106" i="18"/>
  <c r="W241" i="18"/>
  <c r="W42" i="18"/>
  <c r="W68" i="18"/>
  <c r="W35" i="18"/>
  <c r="W230" i="18"/>
  <c r="W217" i="18"/>
  <c r="W107" i="18"/>
  <c r="W243" i="18"/>
  <c r="W138" i="18"/>
  <c r="W141" i="18"/>
  <c r="W262" i="18"/>
  <c r="W126" i="18"/>
  <c r="W167" i="18"/>
  <c r="W39" i="18"/>
  <c r="W232" i="18"/>
  <c r="W264" i="18"/>
  <c r="W155" i="18"/>
  <c r="W96" i="18"/>
  <c r="T65" i="19"/>
  <c r="T359" i="19"/>
  <c r="T737" i="19"/>
  <c r="T81" i="19"/>
  <c r="T451" i="19"/>
  <c r="T340" i="19"/>
  <c r="T124" i="19"/>
  <c r="T35" i="19"/>
  <c r="T417" i="19"/>
  <c r="T195" i="19"/>
  <c r="T532" i="19"/>
  <c r="T518" i="19"/>
  <c r="T888" i="19"/>
  <c r="T388" i="19"/>
  <c r="T128" i="19"/>
  <c r="T847" i="19"/>
  <c r="T375" i="19"/>
  <c r="T595" i="19"/>
  <c r="T267" i="19"/>
  <c r="T497" i="19"/>
  <c r="T188" i="19"/>
  <c r="T111" i="19"/>
  <c r="T911" i="19"/>
  <c r="T426" i="19"/>
  <c r="T380" i="19"/>
  <c r="T243" i="19"/>
  <c r="T150" i="19"/>
  <c r="T365" i="19"/>
  <c r="T950" i="19"/>
  <c r="T774" i="19"/>
  <c r="T384" i="19"/>
  <c r="T431" i="19"/>
  <c r="T193" i="19"/>
  <c r="T280" i="19"/>
  <c r="T96" i="19"/>
  <c r="T265" i="19"/>
  <c r="T636" i="19"/>
  <c r="T78" i="19"/>
  <c r="T827" i="19"/>
  <c r="T286" i="19"/>
  <c r="T163" i="19"/>
  <c r="T879" i="19"/>
  <c r="T104" i="19"/>
  <c r="T749" i="19"/>
  <c r="T757" i="19"/>
  <c r="T800" i="19"/>
  <c r="T88" i="19"/>
  <c r="T488" i="19"/>
  <c r="T709" i="19"/>
  <c r="T582" i="19"/>
  <c r="T799" i="19"/>
  <c r="T901" i="19"/>
  <c r="T98" i="19"/>
  <c r="T662" i="19"/>
  <c r="T430" i="19"/>
  <c r="T600" i="19"/>
  <c r="T332" i="19"/>
  <c r="T466" i="19"/>
  <c r="T210" i="19"/>
  <c r="T221" i="19"/>
  <c r="T676" i="19"/>
  <c r="T118" i="19"/>
  <c r="T179" i="19"/>
  <c r="T6" i="19"/>
  <c r="T649" i="19"/>
  <c r="T166" i="19"/>
  <c r="T491" i="19"/>
  <c r="T900" i="19"/>
  <c r="T224" i="19"/>
  <c r="T589" i="19"/>
  <c r="T839" i="19"/>
  <c r="T594" i="19"/>
  <c r="T935" i="19"/>
  <c r="T252" i="19"/>
  <c r="T781" i="19"/>
  <c r="T90" i="19"/>
  <c r="T489" i="19"/>
  <c r="T541" i="19"/>
  <c r="T29" i="19"/>
  <c r="T537" i="19"/>
  <c r="T279" i="19"/>
  <c r="T729" i="19"/>
  <c r="T788" i="19"/>
  <c r="T766" i="19"/>
  <c r="T313" i="19"/>
  <c r="T171" i="19"/>
  <c r="T370" i="19"/>
  <c r="T445" i="19"/>
  <c r="T40" i="19"/>
  <c r="T127" i="19"/>
  <c r="T461" i="19"/>
  <c r="T905" i="19"/>
  <c r="T348" i="19"/>
  <c r="T449" i="19"/>
  <c r="T511" i="19"/>
  <c r="T362" i="19"/>
  <c r="T711" i="19"/>
  <c r="T724" i="19"/>
  <c r="T974" i="19"/>
  <c r="T361" i="19"/>
  <c r="T464" i="19"/>
  <c r="T539" i="19"/>
  <c r="T144" i="19"/>
  <c r="T207" i="19"/>
  <c r="T978" i="19"/>
  <c r="T601" i="19"/>
  <c r="T615" i="19"/>
  <c r="T39" i="19"/>
  <c r="T695" i="19"/>
  <c r="T966" i="19"/>
  <c r="T101" i="19"/>
  <c r="T436" i="19"/>
  <c r="T591" i="19"/>
  <c r="T404" i="19"/>
  <c r="T12" i="19"/>
  <c r="T782" i="19"/>
  <c r="T844" i="19"/>
  <c r="T680" i="19"/>
  <c r="T906" i="19"/>
  <c r="T970" i="19"/>
  <c r="T787" i="19"/>
  <c r="T53" i="19"/>
  <c r="T330" i="19"/>
  <c r="T70" i="19"/>
  <c r="T765" i="19"/>
  <c r="T630" i="19"/>
  <c r="T571" i="19"/>
  <c r="T72" i="19"/>
  <c r="T247" i="19"/>
  <c r="T980" i="19"/>
  <c r="T583" i="19"/>
  <c r="T410" i="19"/>
  <c r="T476" i="19"/>
  <c r="T694" i="19"/>
  <c r="T345" i="19"/>
  <c r="T459" i="19"/>
  <c r="T786" i="19"/>
  <c r="T278" i="19"/>
  <c r="T346" i="19"/>
  <c r="T861" i="19"/>
  <c r="T120" i="19"/>
  <c r="T17" i="19"/>
  <c r="T804" i="19"/>
  <c r="T575" i="19"/>
  <c r="T588" i="19"/>
  <c r="T89" i="19"/>
  <c r="T897" i="19"/>
  <c r="T820" i="19"/>
  <c r="T386" i="19"/>
  <c r="T777" i="19"/>
  <c r="T91" i="19"/>
  <c r="T270" i="19"/>
  <c r="T79" i="19"/>
  <c r="T735" i="19"/>
  <c r="T957" i="19"/>
  <c r="T7" i="19"/>
  <c r="T552" i="19"/>
  <c r="T704" i="19"/>
  <c r="T520" i="19"/>
  <c r="T557" i="19"/>
  <c r="T770" i="19"/>
  <c r="T603" i="19"/>
  <c r="T137" i="19"/>
  <c r="T688" i="19"/>
  <c r="T27" i="19"/>
  <c r="T671" i="19"/>
  <c r="T205" i="19"/>
  <c r="T937" i="19"/>
  <c r="T366" i="19"/>
  <c r="T315" i="19"/>
  <c r="T269" i="19"/>
  <c r="T469" i="19"/>
  <c r="T486" i="19"/>
  <c r="T191" i="19"/>
  <c r="T666" i="19"/>
  <c r="T409" i="19"/>
  <c r="T290" i="19"/>
  <c r="T616" i="19"/>
  <c r="T116" i="19"/>
  <c r="T633" i="19"/>
  <c r="T31" i="19"/>
  <c r="T734" i="19"/>
  <c r="T955" i="19"/>
  <c r="T157" i="19"/>
  <c r="T254" i="19"/>
  <c r="T63" i="19"/>
  <c r="T1000" i="19"/>
  <c r="T902" i="19"/>
  <c r="T721" i="19"/>
  <c r="T642" i="19"/>
  <c r="T689" i="19"/>
  <c r="T373" i="19"/>
  <c r="T363" i="19"/>
  <c r="T551" i="19"/>
  <c r="W215" i="18"/>
  <c r="W114" i="18"/>
  <c r="W263" i="18"/>
  <c r="W270" i="18"/>
  <c r="W188" i="18"/>
  <c r="W49" i="18"/>
  <c r="W133" i="18"/>
  <c r="W207" i="18"/>
  <c r="W112" i="18"/>
  <c r="W104" i="18"/>
  <c r="W226" i="18"/>
  <c r="W216" i="18"/>
  <c r="W160" i="18"/>
  <c r="W63" i="18"/>
  <c r="W71" i="18"/>
  <c r="W137" i="18"/>
  <c r="W47" i="18"/>
  <c r="W204" i="18"/>
  <c r="W28" i="18"/>
  <c r="W206" i="18"/>
  <c r="W108" i="18"/>
  <c r="W11" i="18"/>
  <c r="W115" i="18"/>
  <c r="W117" i="18"/>
  <c r="W139" i="18"/>
  <c r="W244" i="18"/>
  <c r="W135" i="18"/>
  <c r="W254" i="18"/>
  <c r="W22" i="18"/>
  <c r="W113" i="18"/>
  <c r="W257" i="18"/>
  <c r="W271" i="18"/>
  <c r="W20" i="18"/>
  <c r="W186" i="18"/>
  <c r="W211" i="18"/>
  <c r="W191" i="18"/>
  <c r="W248" i="18"/>
  <c r="W102" i="18"/>
  <c r="W128" i="18"/>
  <c r="W89" i="18"/>
  <c r="W121" i="18"/>
  <c r="W272" i="18"/>
  <c r="W218" i="18"/>
  <c r="W185" i="18"/>
  <c r="W259" i="18"/>
  <c r="W166" i="18"/>
  <c r="W149" i="18"/>
  <c r="W233" i="18"/>
  <c r="W158" i="18"/>
  <c r="W187" i="18"/>
  <c r="W197" i="18"/>
  <c r="W58" i="18"/>
  <c r="W253" i="18"/>
  <c r="W34" i="18"/>
  <c r="W231" i="18"/>
  <c r="W249" i="18"/>
  <c r="W18" i="18"/>
  <c r="T526" i="19"/>
  <c r="T357" i="19"/>
  <c r="T382" i="19"/>
  <c r="T778" i="19"/>
  <c r="T933" i="19"/>
  <c r="T448" i="19"/>
  <c r="T954" i="19"/>
  <c r="T246" i="19"/>
  <c r="T653" i="19"/>
  <c r="T245" i="19"/>
  <c r="T238" i="19"/>
  <c r="T681" i="19"/>
  <c r="T415" i="19"/>
  <c r="T328" i="19"/>
  <c r="T167" i="19"/>
  <c r="T255" i="19"/>
  <c r="T1021" i="19"/>
  <c r="T413" i="19"/>
  <c r="T1012" i="19"/>
  <c r="T132" i="19"/>
  <c r="T577" i="19"/>
  <c r="T492" i="19"/>
  <c r="T561" i="19"/>
  <c r="T347" i="19"/>
  <c r="T574" i="19"/>
  <c r="T921" i="19"/>
  <c r="T586" i="19"/>
  <c r="T487" i="19"/>
  <c r="T830" i="19"/>
  <c r="T213" i="19"/>
  <c r="T242" i="19"/>
  <c r="T569" i="19"/>
  <c r="T810" i="19"/>
  <c r="T891" i="19"/>
  <c r="T222" i="19"/>
  <c r="T467" i="19"/>
  <c r="T550" i="19"/>
  <c r="T739" i="19"/>
  <c r="T225" i="19"/>
  <c r="T848" i="19"/>
  <c r="T125" i="19"/>
  <c r="T403" i="19"/>
  <c r="T260" i="19"/>
  <c r="T48" i="19"/>
  <c r="T568" i="19"/>
  <c r="T611" i="19"/>
  <c r="T113" i="19"/>
  <c r="T763" i="19"/>
  <c r="T596" i="19"/>
  <c r="T226" i="19"/>
  <c r="T793" i="19"/>
  <c r="T496" i="19"/>
  <c r="T367" i="19"/>
  <c r="T22" i="19"/>
  <c r="T381" i="19"/>
  <c r="T153" i="19"/>
  <c r="T21" i="19"/>
  <c r="T407" i="19"/>
  <c r="T590" i="19"/>
  <c r="T368" i="19"/>
  <c r="T883" i="19"/>
  <c r="T352" i="19"/>
  <c r="T1002" i="19"/>
  <c r="T675" i="19"/>
  <c r="T731" i="19"/>
  <c r="T846" i="19"/>
  <c r="T967" i="19"/>
  <c r="T23" i="19"/>
  <c r="T706" i="19"/>
  <c r="T203" i="19"/>
  <c r="T624" i="19"/>
  <c r="T33" i="19"/>
  <c r="T123" i="19"/>
  <c r="T122" i="19"/>
  <c r="T215" i="19"/>
  <c r="T823" i="19"/>
  <c r="T556" i="19"/>
  <c r="T209" i="19"/>
  <c r="T16" i="19"/>
  <c r="T216" i="19"/>
  <c r="T607" i="19"/>
  <c r="T628" i="19"/>
  <c r="T446" i="19"/>
  <c r="T93" i="19"/>
  <c r="T1039" i="19"/>
  <c r="T1016" i="19"/>
  <c r="T1020" i="19"/>
  <c r="T256" i="19"/>
  <c r="T353" i="19"/>
  <c r="T565" i="19"/>
  <c r="T322" i="19"/>
  <c r="T308" i="19"/>
  <c r="T427" i="19"/>
  <c r="T515" i="19"/>
  <c r="T59" i="19"/>
  <c r="T406" i="19"/>
  <c r="T435" i="19"/>
  <c r="T4" i="19"/>
  <c r="T257" i="19"/>
  <c r="T535" i="19"/>
  <c r="T378" i="19"/>
  <c r="T801" i="19"/>
  <c r="T156" i="19"/>
  <c r="T87" i="19"/>
  <c r="T843" i="19"/>
  <c r="T632" i="19"/>
  <c r="T37" i="19"/>
  <c r="T631" i="19"/>
  <c r="T159" i="19"/>
  <c r="T743" i="19"/>
  <c r="T329" i="19"/>
  <c r="T776" i="19"/>
  <c r="T889" i="19"/>
  <c r="T208" i="19"/>
  <c r="T470" i="19"/>
  <c r="T318" i="19"/>
  <c r="T747" i="19"/>
  <c r="T458" i="19"/>
  <c r="T502" i="19"/>
  <c r="T605" i="19"/>
  <c r="T1017" i="19"/>
  <c r="T314" i="19"/>
  <c r="T919" i="19"/>
  <c r="T864" i="19"/>
  <c r="T390" i="19"/>
  <c r="T178" i="19"/>
  <c r="T10" i="19"/>
  <c r="T68" i="19"/>
  <c r="T307" i="19"/>
  <c r="T534" i="19"/>
  <c r="T981" i="19"/>
  <c r="T258" i="19"/>
  <c r="T237" i="19"/>
  <c r="T405" i="19"/>
  <c r="T356" i="19"/>
  <c r="T560" i="19"/>
  <c r="T484" i="19"/>
  <c r="T143" i="19"/>
  <c r="T168" i="19"/>
  <c r="T170" i="19"/>
  <c r="T745" i="19"/>
  <c r="T1029" i="19"/>
  <c r="T857" i="19"/>
  <c r="T929" i="19"/>
  <c r="T83" i="19"/>
  <c r="T453" i="19"/>
  <c r="T57" i="19"/>
  <c r="T28" i="19"/>
  <c r="T342" i="19"/>
  <c r="T517" i="19"/>
  <c r="T217" i="19"/>
  <c r="T349" i="19"/>
  <c r="T500" i="19"/>
  <c r="T772" i="19"/>
  <c r="T802" i="19"/>
  <c r="T945" i="19"/>
  <c r="T444" i="19"/>
  <c r="T305" i="19"/>
  <c r="T164" i="19"/>
  <c r="T64" i="19"/>
  <c r="T177" i="19"/>
  <c r="T298" i="19"/>
  <c r="T510" i="19"/>
  <c r="T228" i="19"/>
  <c r="T401" i="19"/>
  <c r="T674" i="19"/>
  <c r="T485" i="19"/>
  <c r="T9" i="19"/>
  <c r="T316" i="19"/>
  <c r="T499" i="19"/>
  <c r="T84" i="19"/>
  <c r="T892" i="19"/>
  <c r="T585" i="19"/>
  <c r="T719" i="19"/>
  <c r="T235" i="19"/>
  <c r="T604" i="19"/>
  <c r="T545" i="19"/>
  <c r="T718" i="19"/>
  <c r="T946" i="19"/>
  <c r="T759" i="19"/>
  <c r="T325" i="19"/>
  <c r="T230" i="19"/>
  <c r="T414" i="19"/>
  <c r="T748" i="19"/>
  <c r="T204" i="19"/>
  <c r="T869" i="19"/>
  <c r="T320" i="19"/>
  <c r="T309" i="19"/>
  <c r="T1031" i="19"/>
  <c r="T498" i="19"/>
  <c r="T878" i="19"/>
  <c r="T67" i="19"/>
  <c r="T578" i="19"/>
  <c r="T402" i="19"/>
  <c r="T983" i="19"/>
  <c r="T824" i="19"/>
  <c r="T432" i="19"/>
  <c r="T289" i="19"/>
  <c r="W105" i="18"/>
  <c r="W194" i="18"/>
  <c r="W177" i="18"/>
  <c r="W73" i="18"/>
  <c r="W79" i="18"/>
  <c r="W146" i="18"/>
  <c r="W29" i="18"/>
  <c r="W118" i="18"/>
  <c r="W153" i="18"/>
  <c r="W65" i="18"/>
  <c r="W219" i="18"/>
  <c r="W24" i="18"/>
  <c r="W148" i="18"/>
  <c r="W87" i="18"/>
  <c r="W258" i="18"/>
  <c r="W61" i="18"/>
  <c r="W55" i="18"/>
  <c r="W13" i="18"/>
  <c r="W163" i="18"/>
  <c r="W31" i="18"/>
  <c r="W103" i="18"/>
  <c r="W201" i="18"/>
  <c r="W176" i="18"/>
  <c r="W92" i="18"/>
  <c r="W169" i="18"/>
  <c r="W165" i="18"/>
  <c r="W44" i="18"/>
  <c r="W86" i="18"/>
  <c r="W91" i="18"/>
  <c r="W144" i="18"/>
  <c r="W182" i="18"/>
  <c r="W33" i="18"/>
  <c r="W210" i="18"/>
  <c r="W69" i="18"/>
  <c r="W193" i="18"/>
  <c r="W81" i="18"/>
  <c r="W62" i="18"/>
  <c r="W147" i="18"/>
  <c r="W84" i="18"/>
  <c r="W52" i="18"/>
  <c r="W134" i="18"/>
  <c r="W192" i="18"/>
  <c r="W151" i="18"/>
  <c r="W214" i="18"/>
  <c r="W43" i="18"/>
  <c r="W239" i="18"/>
  <c r="W184" i="18"/>
  <c r="W180" i="18"/>
  <c r="W212" i="18"/>
  <c r="W261" i="18"/>
  <c r="W95" i="18"/>
  <c r="W170" i="18"/>
  <c r="W5" i="18"/>
  <c r="W132" i="18"/>
  <c r="W85" i="18"/>
  <c r="W32" i="18"/>
  <c r="W157" i="18"/>
  <c r="A6" i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AI14" i="14"/>
  <c r="AB16" i="14"/>
  <c r="AB11" i="14"/>
  <c r="AN15" i="14"/>
  <c r="X9" i="14"/>
  <c r="AI3" i="14"/>
  <c r="M9" i="14"/>
  <c r="Y8" i="14"/>
  <c r="N10" i="14"/>
  <c r="Y17" i="14"/>
  <c r="AI9" i="14"/>
  <c r="M13" i="14"/>
  <c r="AN13" i="14"/>
  <c r="N7" i="14"/>
  <c r="N12" i="14"/>
  <c r="N16" i="14"/>
  <c r="X7" i="14"/>
  <c r="N8" i="14"/>
  <c r="Z8" i="14"/>
  <c r="AN17" i="14"/>
  <c r="AI4" i="14"/>
  <c r="M15" i="14"/>
  <c r="AB4" i="14"/>
  <c r="M6" i="14"/>
  <c r="N15" i="14"/>
  <c r="M2" i="14"/>
  <c r="Y16" i="14"/>
  <c r="X6" i="14"/>
  <c r="N3" i="14"/>
  <c r="Z16" i="14"/>
  <c r="Y4" i="14"/>
  <c r="X12" i="14"/>
  <c r="AI5" i="14"/>
  <c r="Y2" i="14"/>
  <c r="AN14" i="14"/>
  <c r="Z13" i="14"/>
  <c r="AB12" i="14"/>
  <c r="M4" i="14"/>
  <c r="Z10" i="14"/>
  <c r="Z4" i="14"/>
  <c r="Z17" i="14"/>
  <c r="AN16" i="14"/>
  <c r="X17" i="14"/>
  <c r="M8" i="14"/>
  <c r="N17" i="14"/>
  <c r="X16" i="14"/>
  <c r="X2" i="14"/>
  <c r="AB9" i="14"/>
  <c r="AI7" i="14"/>
  <c r="Z5" i="14"/>
  <c r="Z7" i="14"/>
  <c r="M14" i="14"/>
  <c r="N9" i="14"/>
  <c r="Z9" i="14"/>
  <c r="X10" i="14"/>
  <c r="Y9" i="14"/>
  <c r="AB8" i="14"/>
  <c r="N11" i="14"/>
  <c r="N5" i="14"/>
  <c r="AN10" i="14"/>
  <c r="M10" i="14"/>
  <c r="AB14" i="14"/>
  <c r="X4" i="14"/>
  <c r="M3" i="14"/>
  <c r="AN3" i="14"/>
  <c r="M17" i="14"/>
  <c r="AI12" i="14"/>
  <c r="AN8" i="14"/>
  <c r="N6" i="14"/>
  <c r="AN5" i="14"/>
  <c r="X5" i="14"/>
  <c r="Z6" i="14"/>
  <c r="Y12" i="14"/>
  <c r="AI16" i="14"/>
  <c r="AN12" i="14"/>
  <c r="AB6" i="14"/>
  <c r="Y11" i="14"/>
  <c r="AI15" i="14"/>
  <c r="Y3" i="14"/>
  <c r="Y13" i="14"/>
  <c r="AN6" i="14"/>
  <c r="AB17" i="14"/>
  <c r="N4" i="14"/>
  <c r="AB10" i="14"/>
  <c r="Y14" i="14"/>
  <c r="AI11" i="14"/>
  <c r="Z12" i="14"/>
  <c r="AN2" i="14"/>
  <c r="M16" i="14"/>
  <c r="X11" i="14"/>
  <c r="AN7" i="14"/>
  <c r="AB13" i="14"/>
  <c r="AI6" i="14"/>
  <c r="AB7" i="14"/>
  <c r="N13" i="14"/>
  <c r="AN11" i="14"/>
  <c r="Y15" i="14"/>
  <c r="X13" i="14"/>
  <c r="M5" i="14"/>
  <c r="N2" i="14"/>
  <c r="AB2" i="14"/>
  <c r="AN9" i="14"/>
  <c r="Y7" i="14"/>
  <c r="Z11" i="14"/>
  <c r="AI10" i="14"/>
  <c r="AI13" i="14"/>
  <c r="M12" i="14"/>
  <c r="AB3" i="14"/>
  <c r="AB5" i="14"/>
  <c r="M11" i="14"/>
  <c r="N14" i="14"/>
  <c r="AI17" i="14"/>
  <c r="X14" i="14"/>
  <c r="M7" i="14"/>
  <c r="AB15" i="14"/>
  <c r="X8" i="14"/>
  <c r="AI8" i="14"/>
  <c r="Y5" i="14"/>
  <c r="Y10" i="14"/>
  <c r="Z15" i="14"/>
  <c r="AN4" i="14"/>
  <c r="AI2" i="14"/>
  <c r="Z2" i="14"/>
  <c r="Z3" i="14"/>
  <c r="Y6" i="14"/>
  <c r="Z14" i="14"/>
  <c r="X15" i="14"/>
  <c r="X3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12" i="14"/>
  <c r="AO2" i="14"/>
  <c r="AO7" i="14"/>
  <c r="AO6" i="14"/>
  <c r="AO3" i="14"/>
  <c r="AO4" i="14"/>
  <c r="AO9" i="14"/>
  <c r="AO11" i="14"/>
  <c r="AO17" i="14"/>
  <c r="AO10" i="14"/>
  <c r="AO13" i="14"/>
  <c r="AO16" i="14"/>
  <c r="AO5" i="14"/>
  <c r="AO14" i="14"/>
  <c r="AO15" i="14"/>
  <c r="AO8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N19" i="14"/>
  <c r="Z19" i="14"/>
  <c r="AI18" i="14"/>
  <c r="Y19" i="14"/>
  <c r="AB18" i="14"/>
  <c r="X18" i="14"/>
  <c r="M19" i="14"/>
  <c r="Y18" i="14"/>
  <c r="Z18" i="14"/>
  <c r="M18" i="14"/>
  <c r="AN19" i="14"/>
  <c r="N18" i="14"/>
  <c r="AI19" i="14"/>
  <c r="AB19" i="14"/>
  <c r="AN18" i="14"/>
  <c r="X19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9" i="14"/>
  <c r="AO18" i="14"/>
  <c r="R19" i="14" l="1"/>
  <c r="Q19" i="14"/>
  <c r="P19" i="14"/>
  <c r="Q18" i="14"/>
  <c r="R18" i="14"/>
  <c r="P18" i="14"/>
  <c r="A24" i="1"/>
  <c r="E23" i="1"/>
  <c r="D23" i="1"/>
  <c r="C23" i="1"/>
  <c r="B23" i="1"/>
  <c r="N20" i="14"/>
  <c r="AN20" i="14"/>
  <c r="X20" i="14"/>
  <c r="Z20" i="14"/>
  <c r="M20" i="14"/>
  <c r="Y20" i="14"/>
  <c r="AB20" i="14"/>
  <c r="N21" i="14"/>
  <c r="AI20" i="14"/>
  <c r="O18" i="14" l="1"/>
  <c r="O19" i="14"/>
  <c r="W20" i="14"/>
  <c r="AA20" i="14"/>
  <c r="A25" i="1"/>
  <c r="D24" i="1"/>
  <c r="C24" i="1"/>
  <c r="E24" i="1"/>
  <c r="B24" i="1"/>
  <c r="X21" i="14"/>
  <c r="Y21" i="14"/>
  <c r="AB21" i="14"/>
  <c r="AI21" i="14"/>
  <c r="M21" i="14"/>
  <c r="AN21" i="14"/>
  <c r="AO20" i="14"/>
  <c r="Z21" i="14"/>
  <c r="R20" i="14" l="1"/>
  <c r="Q20" i="14"/>
  <c r="P20" i="14"/>
  <c r="W21" i="14"/>
  <c r="AA21" i="14"/>
  <c r="A26" i="1"/>
  <c r="AI23" i="14" s="1"/>
  <c r="D25" i="1"/>
  <c r="C25" i="1"/>
  <c r="B25" i="1"/>
  <c r="E25" i="1"/>
  <c r="Y22" i="14"/>
  <c r="AO21" i="14"/>
  <c r="Z22" i="14"/>
  <c r="AB22" i="14"/>
  <c r="M22" i="14"/>
  <c r="X22" i="14"/>
  <c r="N22" i="14"/>
  <c r="AI22" i="14"/>
  <c r="AN22" i="14"/>
  <c r="R21" i="14" l="1"/>
  <c r="Q21" i="14"/>
  <c r="P21" i="14"/>
  <c r="W22" i="14"/>
  <c r="O20" i="14"/>
  <c r="AA22" i="14"/>
  <c r="A27" i="1"/>
  <c r="E26" i="1"/>
  <c r="D26" i="1"/>
  <c r="C26" i="1"/>
  <c r="B26" i="1"/>
  <c r="AB23" i="14"/>
  <c r="AO22" i="14"/>
  <c r="X23" i="14"/>
  <c r="Y23" i="14"/>
  <c r="AN23" i="14"/>
  <c r="Z23" i="14"/>
  <c r="M23" i="14"/>
  <c r="N23" i="14"/>
  <c r="O21" i="14" l="1"/>
  <c r="R22" i="14"/>
  <c r="Q22" i="14"/>
  <c r="P22" i="14"/>
  <c r="W23" i="14"/>
  <c r="AA23" i="14"/>
  <c r="A28" i="1"/>
  <c r="Z25" i="14" s="1"/>
  <c r="B27" i="1"/>
  <c r="C27" i="1"/>
  <c r="E27" i="1"/>
  <c r="D27" i="1"/>
  <c r="AO23" i="14"/>
  <c r="N24" i="14"/>
  <c r="X24" i="14"/>
  <c r="AB24" i="14"/>
  <c r="M24" i="14"/>
  <c r="AN24" i="14"/>
  <c r="AI24" i="14"/>
  <c r="Y24" i="14"/>
  <c r="Z24" i="14"/>
  <c r="R23" i="14" l="1"/>
  <c r="Q23" i="14"/>
  <c r="P23" i="14"/>
  <c r="AA24" i="14"/>
  <c r="O22" i="14"/>
  <c r="W24" i="14"/>
  <c r="A29" i="1"/>
  <c r="E28" i="1"/>
  <c r="B28" i="1"/>
  <c r="C28" i="1"/>
  <c r="D28" i="1"/>
  <c r="AN25" i="14"/>
  <c r="M25" i="14"/>
  <c r="AO24" i="14"/>
  <c r="X25" i="14"/>
  <c r="N25" i="14"/>
  <c r="Y25" i="14"/>
  <c r="AI25" i="14"/>
  <c r="AB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M26" i="14"/>
  <c r="AN26" i="14"/>
  <c r="Y26" i="14"/>
  <c r="N26" i="14"/>
  <c r="AB26" i="14"/>
  <c r="N27" i="14"/>
  <c r="AO25" i="14"/>
  <c r="Z26" i="14"/>
  <c r="AI26" i="14"/>
  <c r="X26" i="14"/>
  <c r="Q25" i="14" l="1"/>
  <c r="P25" i="14"/>
  <c r="O24" i="14"/>
  <c r="W26" i="14"/>
  <c r="AA26" i="14"/>
  <c r="A31" i="1"/>
  <c r="E30" i="1"/>
  <c r="B30" i="1"/>
  <c r="C30" i="1"/>
  <c r="D30" i="1"/>
  <c r="AB27" i="14"/>
  <c r="Y27" i="14"/>
  <c r="AO26" i="14"/>
  <c r="X27" i="14"/>
  <c r="M27" i="14"/>
  <c r="Z27" i="14"/>
  <c r="AN27" i="14"/>
  <c r="AI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DL62" i="1"/>
  <c r="A124" i="1" l="1"/>
  <c r="A125" i="1" s="1"/>
  <c r="A126" i="1" s="1"/>
  <c r="D123" i="1"/>
  <c r="E123" i="1"/>
  <c r="C123" i="1"/>
  <c r="B123" i="1"/>
  <c r="B122" i="1"/>
  <c r="C122" i="1"/>
  <c r="D122" i="1"/>
  <c r="E122" i="1"/>
  <c r="B121" i="1"/>
  <c r="C121" i="1"/>
  <c r="D121" i="1"/>
  <c r="E121" i="1"/>
  <c r="B120" i="1"/>
  <c r="C120" i="1"/>
  <c r="D120" i="1"/>
  <c r="E120" i="1"/>
  <c r="B119" i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B126" i="1" l="1"/>
  <c r="E126" i="1"/>
  <c r="C126" i="1"/>
  <c r="D126" i="1"/>
  <c r="B125" i="1"/>
  <c r="C125" i="1"/>
  <c r="D125" i="1"/>
  <c r="E125" i="1"/>
  <c r="B124" i="1"/>
  <c r="C124" i="1"/>
  <c r="D124" i="1"/>
  <c r="E124" i="1"/>
  <c r="M15" i="12"/>
  <c r="AI15" i="12"/>
  <c r="D21" i="12"/>
  <c r="L21" i="12"/>
  <c r="Q15" i="12"/>
  <c r="AA15" i="12"/>
  <c r="G21" i="12"/>
  <c r="R21" i="12"/>
  <c r="K21" i="12"/>
  <c r="F21" i="12"/>
  <c r="AC21" i="12"/>
  <c r="AS15" i="12"/>
  <c r="P15" i="12"/>
  <c r="AO15" i="12"/>
  <c r="U15" i="12"/>
  <c r="AB21" i="12"/>
  <c r="E21" i="12"/>
  <c r="U21" i="12"/>
  <c r="AG21" i="12"/>
  <c r="AI21" i="12"/>
  <c r="AS21" i="12"/>
  <c r="AD15" i="12"/>
  <c r="Z15" i="12"/>
  <c r="AH15" i="12"/>
  <c r="AF15" i="12"/>
  <c r="AB15" i="12"/>
  <c r="AL15" i="12"/>
  <c r="V15" i="12"/>
  <c r="C21" i="12"/>
  <c r="AR15" i="12"/>
  <c r="AL21" i="12"/>
  <c r="B21" i="12"/>
  <c r="M21" i="12"/>
  <c r="AH21" i="12"/>
  <c r="J15" i="12"/>
  <c r="W15" i="12"/>
  <c r="K15" i="12"/>
  <c r="AG15" i="12"/>
  <c r="N21" i="12"/>
  <c r="Y21" i="12"/>
  <c r="O21" i="12"/>
  <c r="W21" i="12"/>
  <c r="AN21" i="12"/>
  <c r="P21" i="12"/>
  <c r="AE15" i="12"/>
  <c r="AQ21" i="12"/>
  <c r="L15" i="12"/>
  <c r="AM21" i="12"/>
  <c r="B15" i="12"/>
  <c r="G15" i="12"/>
  <c r="AO21" i="12"/>
  <c r="AM15" i="12"/>
  <c r="AD21" i="12"/>
  <c r="AC15" i="12"/>
  <c r="H21" i="12"/>
  <c r="D15" i="12"/>
  <c r="AF21" i="12"/>
  <c r="AJ15" i="12"/>
  <c r="AJ21" i="12"/>
  <c r="AR21" i="12"/>
  <c r="Y15" i="12"/>
  <c r="V21" i="12"/>
  <c r="Q21" i="12"/>
  <c r="AN15" i="12"/>
  <c r="O15" i="12"/>
  <c r="Z21" i="12"/>
  <c r="C15" i="12"/>
  <c r="AQ15" i="12"/>
  <c r="T21" i="12"/>
  <c r="AK21" i="12"/>
  <c r="S4" i="9"/>
  <c r="N15" i="12"/>
  <c r="AP15" i="12"/>
  <c r="I21" i="12"/>
  <c r="X21" i="12"/>
  <c r="Q11" i="9"/>
  <c r="R15" i="12"/>
  <c r="X15" i="12"/>
  <c r="T15" i="12"/>
  <c r="H15" i="12"/>
  <c r="AP21" i="12"/>
  <c r="I15" i="12"/>
  <c r="AE21" i="12"/>
  <c r="AK15" i="12"/>
  <c r="AA21" i="12"/>
  <c r="J21" i="12"/>
  <c r="S15" i="12"/>
  <c r="F15" i="12"/>
  <c r="S21" i="12"/>
  <c r="E15" i="12"/>
  <c r="D3" i="12" l="1"/>
  <c r="AT21" i="12"/>
  <c r="AT15" i="12"/>
  <c r="M88" i="14"/>
  <c r="Z183" i="14"/>
  <c r="N112" i="14"/>
  <c r="AI109" i="14"/>
  <c r="M119" i="14"/>
  <c r="M40" i="14"/>
  <c r="AN260" i="14"/>
  <c r="N32" i="14"/>
  <c r="M89" i="14"/>
  <c r="Z33" i="14"/>
  <c r="AI256" i="14"/>
  <c r="AN63" i="14"/>
  <c r="Y261" i="14"/>
  <c r="AI322" i="14"/>
  <c r="AN244" i="14"/>
  <c r="AN324" i="14"/>
  <c r="AN358" i="14"/>
  <c r="Z336" i="14"/>
  <c r="X152" i="14"/>
  <c r="N123" i="14"/>
  <c r="AB40" i="14"/>
  <c r="X365" i="14"/>
  <c r="AB108" i="14"/>
  <c r="Z208" i="14"/>
  <c r="Z45" i="14"/>
  <c r="N151" i="14"/>
  <c r="Y166" i="14"/>
  <c r="X283" i="14"/>
  <c r="Z60" i="14"/>
  <c r="AB66" i="14"/>
  <c r="Z104" i="14"/>
  <c r="X204" i="14"/>
  <c r="X172" i="14"/>
  <c r="AB308" i="14"/>
  <c r="AB252" i="14"/>
  <c r="X218" i="14"/>
  <c r="N70" i="14"/>
  <c r="Z282" i="14"/>
  <c r="AI365" i="14"/>
  <c r="M276" i="14"/>
  <c r="M346" i="14"/>
  <c r="AB238" i="14"/>
  <c r="Z83" i="14"/>
  <c r="AI208" i="14"/>
  <c r="N261" i="14"/>
  <c r="N186" i="14"/>
  <c r="AN197" i="14"/>
  <c r="Z204" i="14"/>
  <c r="N222" i="14"/>
  <c r="AB209" i="14"/>
  <c r="N301" i="14"/>
  <c r="M237" i="14"/>
  <c r="N185" i="14"/>
  <c r="N110" i="14"/>
  <c r="AI348" i="14"/>
  <c r="Y357" i="14"/>
  <c r="AB320" i="14"/>
  <c r="M48" i="14"/>
  <c r="X108" i="14"/>
  <c r="AI172" i="14"/>
  <c r="AN139" i="14"/>
  <c r="Y29" i="14"/>
  <c r="AN293" i="14"/>
  <c r="X161" i="14"/>
  <c r="M197" i="14"/>
  <c r="AB63" i="14"/>
  <c r="Y211" i="14"/>
  <c r="AI133" i="14"/>
  <c r="Y51" i="14"/>
  <c r="AB150" i="14"/>
  <c r="Z29" i="14"/>
  <c r="Y239" i="14"/>
  <c r="Y354" i="14"/>
  <c r="AB235" i="14"/>
  <c r="AB200" i="14"/>
  <c r="AI264" i="14"/>
  <c r="Y153" i="14"/>
  <c r="AI311" i="14"/>
  <c r="X110" i="14"/>
  <c r="N131" i="14"/>
  <c r="AI359" i="14"/>
  <c r="AN292" i="14"/>
  <c r="M189" i="14"/>
  <c r="M45" i="14"/>
  <c r="N265" i="14"/>
  <c r="AB303" i="14"/>
  <c r="AI81" i="14"/>
  <c r="Z46" i="14"/>
  <c r="AB214" i="14"/>
  <c r="M219" i="14"/>
  <c r="N272" i="14"/>
  <c r="N365" i="14"/>
  <c r="Z124" i="14"/>
  <c r="AI265" i="14"/>
  <c r="AB47" i="14"/>
  <c r="Y342" i="14"/>
  <c r="Z64" i="14"/>
  <c r="Y68" i="14"/>
  <c r="AI368" i="14"/>
  <c r="M309" i="14"/>
  <c r="Y85" i="14"/>
  <c r="Z177" i="14"/>
  <c r="AN289" i="14"/>
  <c r="Y113" i="14"/>
  <c r="AN142" i="14"/>
  <c r="AI223" i="14"/>
  <c r="Z284" i="14"/>
  <c r="AB88" i="14"/>
  <c r="AI121" i="14"/>
  <c r="AB284" i="14"/>
  <c r="N204" i="14"/>
  <c r="M235" i="14"/>
  <c r="Z142" i="14"/>
  <c r="AB218" i="14"/>
  <c r="M245" i="14"/>
  <c r="AI279" i="14"/>
  <c r="X65" i="14"/>
  <c r="AI146" i="14"/>
  <c r="X357" i="14"/>
  <c r="X141" i="14"/>
  <c r="Z234" i="14"/>
  <c r="N363" i="14"/>
  <c r="Y215" i="14"/>
  <c r="N362" i="14"/>
  <c r="AN128" i="14"/>
  <c r="X59" i="14"/>
  <c r="AI98" i="14"/>
  <c r="Z250" i="14"/>
  <c r="AB339" i="14"/>
  <c r="AB129" i="14"/>
  <c r="AN64" i="14"/>
  <c r="N336" i="14"/>
  <c r="X335" i="14"/>
  <c r="AN323" i="14"/>
  <c r="AB351" i="14"/>
  <c r="AN278" i="14"/>
  <c r="M141" i="14"/>
  <c r="AB244" i="14"/>
  <c r="AB364" i="14"/>
  <c r="M228" i="14"/>
  <c r="N252" i="14"/>
  <c r="Z95" i="14"/>
  <c r="AB195" i="14"/>
  <c r="AI320" i="14"/>
  <c r="Z87" i="14"/>
  <c r="Z254" i="14"/>
  <c r="AI148" i="14"/>
  <c r="AB250" i="14"/>
  <c r="AI144" i="14"/>
  <c r="AN120" i="14"/>
  <c r="AB187" i="14"/>
  <c r="X94" i="14"/>
  <c r="AB76" i="14"/>
  <c r="X247" i="14"/>
  <c r="X85" i="14"/>
  <c r="N134" i="14"/>
  <c r="AN129" i="14"/>
  <c r="Y151" i="14"/>
  <c r="N290" i="14"/>
  <c r="Z364" i="14"/>
  <c r="Y276" i="14"/>
  <c r="AN274" i="14"/>
  <c r="M285" i="14"/>
  <c r="M41" i="14"/>
  <c r="AI248" i="14"/>
  <c r="AI209" i="14"/>
  <c r="Y149" i="14"/>
  <c r="AI112" i="14"/>
  <c r="Y192" i="14"/>
  <c r="AB260" i="14"/>
  <c r="X273" i="14"/>
  <c r="AN175" i="14"/>
  <c r="AN357" i="14"/>
  <c r="AI191" i="14"/>
  <c r="AB84" i="14"/>
  <c r="AN29" i="14"/>
  <c r="N342" i="14"/>
  <c r="X214" i="14"/>
  <c r="Z220" i="14"/>
  <c r="N171" i="14"/>
  <c r="X124" i="14"/>
  <c r="AI185" i="14"/>
  <c r="N178" i="14"/>
  <c r="M104" i="14"/>
  <c r="Y33" i="14"/>
  <c r="X121" i="14"/>
  <c r="Z169" i="14"/>
  <c r="Z271" i="14"/>
  <c r="Z105" i="14"/>
  <c r="Z138" i="14"/>
  <c r="N62" i="14"/>
  <c r="AI261" i="14"/>
  <c r="M43" i="14"/>
  <c r="AB127" i="14"/>
  <c r="M241" i="14"/>
  <c r="Z333" i="14"/>
  <c r="Y289" i="14"/>
  <c r="N156" i="14"/>
  <c r="AB215" i="14"/>
  <c r="N283" i="14"/>
  <c r="N31" i="14"/>
  <c r="Z301" i="14"/>
  <c r="AI52" i="14"/>
  <c r="AI60" i="14"/>
  <c r="AB39" i="14"/>
  <c r="M272" i="14"/>
  <c r="N71" i="14"/>
  <c r="AB130" i="14"/>
  <c r="AN266" i="14"/>
  <c r="AN148" i="14"/>
  <c r="AB125" i="14"/>
  <c r="Z335" i="14"/>
  <c r="N262" i="14"/>
  <c r="AI213" i="14"/>
  <c r="AI63" i="14"/>
  <c r="AI260" i="14"/>
  <c r="M331" i="14"/>
  <c r="AB230" i="14"/>
  <c r="AN234" i="14"/>
  <c r="M323" i="14"/>
  <c r="N126" i="14"/>
  <c r="M311" i="14"/>
  <c r="M335" i="14"/>
  <c r="AI200" i="14"/>
  <c r="M95" i="14"/>
  <c r="AN261" i="14"/>
  <c r="M42" i="14"/>
  <c r="Z320" i="14"/>
  <c r="X311" i="14"/>
  <c r="M287" i="14"/>
  <c r="N57" i="14"/>
  <c r="N293" i="14"/>
  <c r="M130" i="14"/>
  <c r="M107" i="14"/>
  <c r="X332" i="14"/>
  <c r="N295" i="14"/>
  <c r="Y217" i="14"/>
  <c r="AB85" i="14"/>
  <c r="AN333" i="14"/>
  <c r="AB307" i="14"/>
  <c r="Z362" i="14"/>
  <c r="N312" i="14"/>
  <c r="AI125" i="14"/>
  <c r="AN182" i="14"/>
  <c r="Z281" i="14"/>
  <c r="AB91" i="14"/>
  <c r="N124" i="14"/>
  <c r="Y203" i="14"/>
  <c r="M357" i="14"/>
  <c r="AN179" i="14"/>
  <c r="AI41" i="14"/>
  <c r="X320" i="14"/>
  <c r="M81" i="14"/>
  <c r="Y232" i="14"/>
  <c r="AB212" i="14"/>
  <c r="AI251" i="14"/>
  <c r="Y221" i="14"/>
  <c r="AN164" i="14"/>
  <c r="X127" i="14"/>
  <c r="N325" i="14"/>
  <c r="Y229" i="14"/>
  <c r="AB78" i="14"/>
  <c r="X228" i="14"/>
  <c r="AN71" i="14"/>
  <c r="AB359" i="14"/>
  <c r="N142" i="14"/>
  <c r="M259" i="14"/>
  <c r="Z130" i="14"/>
  <c r="M367" i="14"/>
  <c r="X210" i="14"/>
  <c r="AI151" i="14"/>
  <c r="AN212" i="14"/>
  <c r="N214" i="14"/>
  <c r="X268" i="14"/>
  <c r="N297" i="14"/>
  <c r="AI173" i="14"/>
  <c r="Y214" i="14"/>
  <c r="AN363" i="14"/>
  <c r="M94" i="14"/>
  <c r="Z211" i="14"/>
  <c r="Z327" i="14"/>
  <c r="M120" i="14"/>
  <c r="AI280" i="14"/>
  <c r="M129" i="14"/>
  <c r="M148" i="14"/>
  <c r="Y199" i="14"/>
  <c r="N143" i="14"/>
  <c r="AB296" i="14"/>
  <c r="AI282" i="14"/>
  <c r="M301" i="14"/>
  <c r="AN232" i="14"/>
  <c r="AN56" i="14"/>
  <c r="Z268" i="14"/>
  <c r="Y54" i="14"/>
  <c r="M114" i="14"/>
  <c r="AN86" i="14"/>
  <c r="AI91" i="14"/>
  <c r="AB184" i="14"/>
  <c r="AB301" i="14"/>
  <c r="M302" i="14"/>
  <c r="AB45" i="14"/>
  <c r="AN81" i="14"/>
  <c r="M278" i="14"/>
  <c r="X68" i="14"/>
  <c r="N58" i="14"/>
  <c r="AI110" i="14"/>
  <c r="M327" i="14"/>
  <c r="Z214" i="14"/>
  <c r="AB332" i="14"/>
  <c r="M225" i="14"/>
  <c r="Y92" i="14"/>
  <c r="AI171" i="14"/>
  <c r="AI149" i="14"/>
  <c r="N197" i="14"/>
  <c r="Z278" i="14"/>
  <c r="AB80" i="14"/>
  <c r="X271" i="14"/>
  <c r="AB34" i="14"/>
  <c r="AI360" i="14"/>
  <c r="AN219" i="14"/>
  <c r="AB134" i="14"/>
  <c r="N45" i="14"/>
  <c r="Y101" i="14"/>
  <c r="Y360" i="14"/>
  <c r="AI56" i="14"/>
  <c r="M196" i="14"/>
  <c r="AB196" i="14"/>
  <c r="AI255" i="14"/>
  <c r="M79" i="14"/>
  <c r="Y154" i="14"/>
  <c r="X248" i="14"/>
  <c r="Z28" i="14"/>
  <c r="AN328" i="14"/>
  <c r="X355" i="14"/>
  <c r="N347" i="14"/>
  <c r="X177" i="14"/>
  <c r="N208" i="14"/>
  <c r="AN34" i="14"/>
  <c r="AB245" i="14"/>
  <c r="Y219" i="14"/>
  <c r="AB31" i="14"/>
  <c r="X174" i="14"/>
  <c r="N200" i="14"/>
  <c r="Y136" i="14"/>
  <c r="Y157" i="14"/>
  <c r="Z251" i="14"/>
  <c r="AB51" i="14"/>
  <c r="Z239" i="14"/>
  <c r="AI193" i="14"/>
  <c r="X310" i="14"/>
  <c r="N74" i="14"/>
  <c r="M200" i="14"/>
  <c r="X134" i="14"/>
  <c r="Y251" i="14"/>
  <c r="AB54" i="14"/>
  <c r="Z86" i="14"/>
  <c r="N309" i="14"/>
  <c r="AI270" i="14"/>
  <c r="AN330" i="14"/>
  <c r="AI300" i="14"/>
  <c r="AB262" i="14"/>
  <c r="M134" i="14"/>
  <c r="Z359" i="14"/>
  <c r="AI35" i="14"/>
  <c r="M157" i="14"/>
  <c r="Z348" i="14"/>
  <c r="AB199" i="14"/>
  <c r="N82" i="14"/>
  <c r="X70" i="14"/>
  <c r="N319" i="14"/>
  <c r="AI205" i="14"/>
  <c r="Z197" i="14"/>
  <c r="X288" i="14"/>
  <c r="AI142" i="14"/>
  <c r="M341" i="14"/>
  <c r="AI338" i="14"/>
  <c r="Y313" i="14"/>
  <c r="N193" i="14"/>
  <c r="Y202" i="14"/>
  <c r="M317" i="14"/>
  <c r="N73" i="14"/>
  <c r="AN189" i="14"/>
  <c r="AB216" i="14"/>
  <c r="AB202" i="14"/>
  <c r="X79" i="14"/>
  <c r="AN207" i="14"/>
  <c r="AB274" i="14"/>
  <c r="M61" i="14"/>
  <c r="M174" i="14"/>
  <c r="Y248" i="14"/>
  <c r="AN344" i="14"/>
  <c r="Y307" i="14"/>
  <c r="AI65" i="14"/>
  <c r="AN32" i="14"/>
  <c r="X169" i="14"/>
  <c r="AI249" i="14"/>
  <c r="M125" i="14"/>
  <c r="AB72" i="14"/>
  <c r="AI197" i="14"/>
  <c r="Y279" i="14"/>
  <c r="Z312" i="14"/>
  <c r="AN39" i="14"/>
  <c r="X78" i="14"/>
  <c r="N369" i="14"/>
  <c r="AI357" i="14"/>
  <c r="Y213" i="14"/>
  <c r="Y148" i="14"/>
  <c r="M87" i="14"/>
  <c r="AI275" i="14"/>
  <c r="N332" i="14"/>
  <c r="AB275" i="14"/>
  <c r="Y125" i="14"/>
  <c r="M116" i="14"/>
  <c r="AI30" i="14"/>
  <c r="AI286" i="14"/>
  <c r="N366" i="14"/>
  <c r="AN121" i="14"/>
  <c r="AB266" i="14"/>
  <c r="X302" i="14"/>
  <c r="M33" i="14"/>
  <c r="AB74" i="14"/>
  <c r="X77" i="14"/>
  <c r="N300" i="14"/>
  <c r="AN163" i="14"/>
  <c r="AB87" i="14"/>
  <c r="AI252" i="14"/>
  <c r="AN31" i="14"/>
  <c r="AB109" i="14"/>
  <c r="Z172" i="14"/>
  <c r="X262" i="14"/>
  <c r="Z221" i="14"/>
  <c r="Z298" i="14"/>
  <c r="AN320" i="14"/>
  <c r="Z276" i="14"/>
  <c r="AN336" i="14"/>
  <c r="Z261" i="14"/>
  <c r="AB207" i="14"/>
  <c r="N353" i="14"/>
  <c r="AN280" i="14"/>
  <c r="M250" i="14"/>
  <c r="N314" i="14"/>
  <c r="AB312" i="14"/>
  <c r="AI44" i="14"/>
  <c r="M86" i="14"/>
  <c r="AI47" i="14"/>
  <c r="X184" i="14"/>
  <c r="AI156" i="14"/>
  <c r="N162" i="14"/>
  <c r="M217" i="14"/>
  <c r="Y204" i="14"/>
  <c r="Y299" i="14"/>
  <c r="AN114" i="14"/>
  <c r="AB325" i="14"/>
  <c r="M65" i="14"/>
  <c r="AB369" i="14"/>
  <c r="AB248" i="14"/>
  <c r="N315" i="14"/>
  <c r="Z272" i="14"/>
  <c r="AB273" i="14"/>
  <c r="X208" i="14"/>
  <c r="N128" i="14"/>
  <c r="AB229" i="14"/>
  <c r="M179" i="14"/>
  <c r="AN57" i="14"/>
  <c r="X280" i="14"/>
  <c r="AB368" i="14"/>
  <c r="AB277" i="14"/>
  <c r="AN69" i="14"/>
  <c r="Y359" i="14"/>
  <c r="N299" i="14"/>
  <c r="X216" i="14"/>
  <c r="AN255" i="14"/>
  <c r="Z343" i="14"/>
  <c r="X171" i="14"/>
  <c r="Z307" i="14"/>
  <c r="AB160" i="14"/>
  <c r="Y123" i="14"/>
  <c r="X277" i="14"/>
  <c r="Z153" i="14"/>
  <c r="AN119" i="14"/>
  <c r="M214" i="14"/>
  <c r="AN125" i="14"/>
  <c r="AN310" i="14"/>
  <c r="Z306" i="14"/>
  <c r="X329" i="14"/>
  <c r="N51" i="14"/>
  <c r="AI350" i="14"/>
  <c r="AI228" i="14"/>
  <c r="AB191" i="14"/>
  <c r="AN90" i="14"/>
  <c r="AI230" i="14"/>
  <c r="Y140" i="14"/>
  <c r="Y162" i="14"/>
  <c r="Z48" i="14"/>
  <c r="N176" i="14"/>
  <c r="N215" i="14"/>
  <c r="AI78" i="14"/>
  <c r="M97" i="14"/>
  <c r="AB302" i="14"/>
  <c r="AB79" i="14"/>
  <c r="AI102" i="14"/>
  <c r="Z368" i="14"/>
  <c r="AI237" i="14"/>
  <c r="AI170" i="14"/>
  <c r="Y82" i="14"/>
  <c r="AN112" i="14"/>
  <c r="AB236" i="14"/>
  <c r="AI28" i="14"/>
  <c r="N329" i="14"/>
  <c r="AN88" i="14"/>
  <c r="Z237" i="14"/>
  <c r="Y278" i="14"/>
  <c r="Z224" i="14"/>
  <c r="AI232" i="14"/>
  <c r="Y43" i="14"/>
  <c r="AN127" i="14"/>
  <c r="Y368" i="14"/>
  <c r="X303" i="14"/>
  <c r="Z286" i="14"/>
  <c r="M161" i="14"/>
  <c r="M51" i="14"/>
  <c r="Z155" i="14"/>
  <c r="AN311" i="14"/>
  <c r="X150" i="14"/>
  <c r="Y337" i="14"/>
  <c r="M131" i="14"/>
  <c r="AI218" i="14"/>
  <c r="M164" i="14"/>
  <c r="Z213" i="14"/>
  <c r="AI229" i="14"/>
  <c r="AN245" i="14"/>
  <c r="AB181" i="14"/>
  <c r="X73" i="14"/>
  <c r="N141" i="14"/>
  <c r="N132" i="14"/>
  <c r="Z315" i="14"/>
  <c r="Z300" i="14"/>
  <c r="Y350" i="14"/>
  <c r="AN48" i="14"/>
  <c r="Z202" i="14"/>
  <c r="AI358" i="14"/>
  <c r="Y69" i="14"/>
  <c r="M286" i="14"/>
  <c r="AN276" i="14"/>
  <c r="AI216" i="14"/>
  <c r="AI343" i="14"/>
  <c r="M282" i="14"/>
  <c r="AN279" i="14"/>
  <c r="Y71" i="14"/>
  <c r="N289" i="14"/>
  <c r="M333" i="14"/>
  <c r="AN75" i="14"/>
  <c r="Z82" i="14"/>
  <c r="AB221" i="14"/>
  <c r="M273" i="14"/>
  <c r="Y274" i="14"/>
  <c r="AN335" i="14"/>
  <c r="AN288" i="14"/>
  <c r="Y45" i="14"/>
  <c r="AI336" i="14"/>
  <c r="AB227" i="14"/>
  <c r="Y226" i="14"/>
  <c r="AN186" i="14"/>
  <c r="N100" i="14"/>
  <c r="M281" i="14"/>
  <c r="AI186" i="14"/>
  <c r="AB206" i="14"/>
  <c r="AN36" i="14"/>
  <c r="X325" i="14"/>
  <c r="N360" i="14"/>
  <c r="AN154" i="14"/>
  <c r="N127" i="14"/>
  <c r="AN216" i="14"/>
  <c r="AN133" i="14"/>
  <c r="N230" i="14"/>
  <c r="N217" i="14"/>
  <c r="M57" i="14"/>
  <c r="N233" i="14"/>
  <c r="N53" i="14"/>
  <c r="Z175" i="14"/>
  <c r="Z288" i="14"/>
  <c r="AN277" i="14"/>
  <c r="Y252" i="14"/>
  <c r="N33" i="14"/>
  <c r="AI323" i="14"/>
  <c r="AI207" i="14"/>
  <c r="Z101" i="14"/>
  <c r="X195" i="14"/>
  <c r="AN185" i="14"/>
  <c r="AI86" i="14"/>
  <c r="AI134" i="14"/>
  <c r="AI87" i="14"/>
  <c r="M71" i="14"/>
  <c r="Z344" i="14"/>
  <c r="AI349" i="14"/>
  <c r="AB133" i="14"/>
  <c r="M78" i="14"/>
  <c r="M111" i="14"/>
  <c r="AB156" i="14"/>
  <c r="Z79" i="14"/>
  <c r="X145" i="14"/>
  <c r="N75" i="14"/>
  <c r="AB159" i="14"/>
  <c r="N79" i="14"/>
  <c r="Z103" i="14"/>
  <c r="AI203" i="14"/>
  <c r="AB121" i="14"/>
  <c r="AI266" i="14"/>
  <c r="X284" i="14"/>
  <c r="M213" i="14"/>
  <c r="X38" i="14"/>
  <c r="AB33" i="14"/>
  <c r="N305" i="14"/>
  <c r="Y347" i="14"/>
  <c r="AB131" i="14"/>
  <c r="X331" i="14"/>
  <c r="X339" i="14"/>
  <c r="AI140" i="14"/>
  <c r="X109" i="14"/>
  <c r="AN41" i="14"/>
  <c r="Y205" i="14"/>
  <c r="X66" i="14"/>
  <c r="AI76" i="14"/>
  <c r="N85" i="14"/>
  <c r="N308" i="14"/>
  <c r="AB205" i="14"/>
  <c r="N298" i="14"/>
  <c r="X180" i="14"/>
  <c r="Y201" i="14"/>
  <c r="AB92" i="14"/>
  <c r="X243" i="14"/>
  <c r="Z160" i="14"/>
  <c r="Y200" i="14"/>
  <c r="AB185" i="14"/>
  <c r="AN281" i="14"/>
  <c r="AB163" i="14"/>
  <c r="AN334" i="14"/>
  <c r="N277" i="14"/>
  <c r="Z126" i="14"/>
  <c r="Z353" i="14"/>
  <c r="Y129" i="14"/>
  <c r="Y186" i="14"/>
  <c r="Y361" i="14"/>
  <c r="AB293" i="14"/>
  <c r="AI176" i="14"/>
  <c r="X67" i="14"/>
  <c r="X217" i="14"/>
  <c r="AI136" i="14"/>
  <c r="M124" i="14"/>
  <c r="AN259" i="14"/>
  <c r="AB99" i="14"/>
  <c r="Z165" i="14"/>
  <c r="Y65" i="14"/>
  <c r="AI66" i="14"/>
  <c r="AB172" i="14"/>
  <c r="AB228" i="14"/>
  <c r="AN83" i="14"/>
  <c r="X135" i="14"/>
  <c r="X309" i="14"/>
  <c r="X107" i="14"/>
  <c r="X294" i="14"/>
  <c r="Y272" i="14"/>
  <c r="AI290" i="14"/>
  <c r="Z62" i="14"/>
  <c r="M318" i="14"/>
  <c r="AI246" i="14"/>
  <c r="AI239" i="14"/>
  <c r="M326" i="14"/>
  <c r="M324" i="14"/>
  <c r="N302" i="14"/>
  <c r="M102" i="14"/>
  <c r="M279" i="14"/>
  <c r="N119" i="14"/>
  <c r="M44" i="14"/>
  <c r="Z205" i="14"/>
  <c r="AN58" i="14"/>
  <c r="AN202" i="14"/>
  <c r="N198" i="14"/>
  <c r="X213" i="14"/>
  <c r="Z117" i="14"/>
  <c r="AI219" i="14"/>
  <c r="X86" i="14"/>
  <c r="N335" i="14"/>
  <c r="Y47" i="14"/>
  <c r="N259" i="14"/>
  <c r="AN290" i="14"/>
  <c r="Y266" i="14"/>
  <c r="Z264" i="14"/>
  <c r="AB269" i="14"/>
  <c r="AB46" i="14"/>
  <c r="Z363" i="14"/>
  <c r="X206" i="14"/>
  <c r="AB360" i="14"/>
  <c r="AN273" i="14"/>
  <c r="AN28" i="14"/>
  <c r="N60" i="14"/>
  <c r="M144" i="14"/>
  <c r="X299" i="14"/>
  <c r="Z112" i="14"/>
  <c r="AN316" i="14"/>
  <c r="N59" i="14"/>
  <c r="X297" i="14"/>
  <c r="AN55" i="14"/>
  <c r="N172" i="14"/>
  <c r="AN229" i="14"/>
  <c r="Z267" i="14"/>
  <c r="X93" i="14"/>
  <c r="AB135" i="14"/>
  <c r="AB354" i="14"/>
  <c r="N320" i="14"/>
  <c r="AI245" i="14"/>
  <c r="AN124" i="14"/>
  <c r="X254" i="14"/>
  <c r="M350" i="14"/>
  <c r="AI82" i="14"/>
  <c r="AB60" i="14"/>
  <c r="AN329" i="14"/>
  <c r="M254" i="14"/>
  <c r="AB98" i="14"/>
  <c r="Y59" i="14"/>
  <c r="X201" i="14"/>
  <c r="AB231" i="14"/>
  <c r="N41" i="14"/>
  <c r="X200" i="14"/>
  <c r="AI346" i="14"/>
  <c r="AB305" i="14"/>
  <c r="M132" i="14"/>
  <c r="AB263" i="14"/>
  <c r="AB323" i="14"/>
  <c r="AB188" i="14"/>
  <c r="Z331" i="14"/>
  <c r="Y184" i="14"/>
  <c r="N212" i="14"/>
  <c r="Y130" i="14"/>
  <c r="N238" i="14"/>
  <c r="X328" i="14"/>
  <c r="AN321" i="14"/>
  <c r="X196" i="14"/>
  <c r="X61" i="14"/>
  <c r="AN162" i="14"/>
  <c r="Y222" i="14"/>
  <c r="X364" i="14"/>
  <c r="AB356" i="14"/>
  <c r="X290" i="14"/>
  <c r="N280" i="14"/>
  <c r="M151" i="14"/>
  <c r="Y182" i="14"/>
  <c r="M240" i="14"/>
  <c r="Y121" i="14"/>
  <c r="AI361" i="14"/>
  <c r="Y98" i="14"/>
  <c r="AB176" i="14"/>
  <c r="AB67" i="14"/>
  <c r="AN181" i="14"/>
  <c r="Y207" i="14"/>
  <c r="Z158" i="14"/>
  <c r="AI366" i="14"/>
  <c r="AB96" i="14"/>
  <c r="AB208" i="14"/>
  <c r="Z351" i="14"/>
  <c r="AN82" i="14"/>
  <c r="N368" i="14"/>
  <c r="M30" i="14"/>
  <c r="Y327" i="14"/>
  <c r="Y260" i="14"/>
  <c r="AN265" i="14"/>
  <c r="AI67" i="14"/>
  <c r="X142" i="14"/>
  <c r="N254" i="14"/>
  <c r="Y79" i="14"/>
  <c r="X35" i="14"/>
  <c r="AI215" i="14"/>
  <c r="AI39" i="14"/>
  <c r="Y358" i="14"/>
  <c r="Y268" i="14"/>
  <c r="M328" i="14"/>
  <c r="M361" i="14"/>
  <c r="AB340" i="14"/>
  <c r="AN319" i="14"/>
  <c r="Y164" i="14"/>
  <c r="AN43" i="14"/>
  <c r="AI302" i="14"/>
  <c r="N69" i="14"/>
  <c r="Z39" i="14"/>
  <c r="AI62" i="14"/>
  <c r="Y188" i="14"/>
  <c r="Y349" i="14"/>
  <c r="Z244" i="14"/>
  <c r="N77" i="14"/>
  <c r="Y141" i="14"/>
  <c r="AI326" i="14"/>
  <c r="AB58" i="14"/>
  <c r="M154" i="14"/>
  <c r="AI54" i="14"/>
  <c r="AB295" i="14"/>
  <c r="X227" i="14"/>
  <c r="Z365" i="14"/>
  <c r="Z318" i="14"/>
  <c r="Z223" i="14"/>
  <c r="AB35" i="14"/>
  <c r="Z140" i="14"/>
  <c r="X146" i="14"/>
  <c r="X245" i="14"/>
  <c r="Y64" i="14"/>
  <c r="N113" i="14"/>
  <c r="AB259" i="14"/>
  <c r="AI342" i="14"/>
  <c r="N98" i="14"/>
  <c r="AB56" i="14"/>
  <c r="Z132" i="14"/>
  <c r="N334" i="14"/>
  <c r="X250" i="14"/>
  <c r="M123" i="14"/>
  <c r="AN174" i="14"/>
  <c r="AN267" i="14"/>
  <c r="AI353" i="14"/>
  <c r="AI210" i="14"/>
  <c r="Y280" i="14"/>
  <c r="Y105" i="14"/>
  <c r="AI330" i="14"/>
  <c r="Y88" i="14"/>
  <c r="X263" i="14"/>
  <c r="N344" i="14"/>
  <c r="AB336" i="14"/>
  <c r="AB319" i="14"/>
  <c r="AB192" i="14"/>
  <c r="AN87" i="14"/>
  <c r="AI240" i="14"/>
  <c r="M39" i="14"/>
  <c r="AI187" i="14"/>
  <c r="X359" i="14"/>
  <c r="X105" i="14"/>
  <c r="Z245" i="14"/>
  <c r="Y227" i="14"/>
  <c r="AB315" i="14"/>
  <c r="Z181" i="14"/>
  <c r="Z114" i="14"/>
  <c r="AI92" i="14"/>
  <c r="X369" i="14"/>
  <c r="Z94" i="14"/>
  <c r="AI308" i="14"/>
  <c r="M63" i="14"/>
  <c r="M316" i="14"/>
  <c r="N136" i="14"/>
  <c r="X113" i="14"/>
  <c r="AB97" i="14"/>
  <c r="AN51" i="14"/>
  <c r="N157" i="14"/>
  <c r="AN165" i="14"/>
  <c r="AN78" i="14"/>
  <c r="AN209" i="14"/>
  <c r="AI328" i="14"/>
  <c r="X170" i="14"/>
  <c r="AB318" i="14"/>
  <c r="X212" i="14"/>
  <c r="AN361" i="14"/>
  <c r="AI113" i="14"/>
  <c r="M168" i="14"/>
  <c r="Z289" i="14"/>
  <c r="AI236" i="14"/>
  <c r="M191" i="14"/>
  <c r="AB344" i="14"/>
  <c r="N350" i="14"/>
  <c r="Z190" i="14"/>
  <c r="N125" i="14"/>
  <c r="AN137" i="14"/>
  <c r="N28" i="14"/>
  <c r="AI49" i="14"/>
  <c r="X119" i="14"/>
  <c r="N144" i="14"/>
  <c r="AB138" i="14"/>
  <c r="AI138" i="14"/>
  <c r="AN168" i="14"/>
  <c r="AI306" i="14"/>
  <c r="AN347" i="14"/>
  <c r="M199" i="14"/>
  <c r="Y341" i="14"/>
  <c r="Z339" i="14"/>
  <c r="Z115" i="14"/>
  <c r="N213" i="14"/>
  <c r="Y124" i="14"/>
  <c r="X118" i="14"/>
  <c r="Y147" i="14"/>
  <c r="N78" i="14"/>
  <c r="M230" i="14"/>
  <c r="X345" i="14"/>
  <c r="AI202" i="14"/>
  <c r="AI250" i="14"/>
  <c r="AI369" i="14"/>
  <c r="AN131" i="14"/>
  <c r="Z90" i="14"/>
  <c r="X92" i="14"/>
  <c r="N339" i="14"/>
  <c r="N116" i="14"/>
  <c r="X347" i="14"/>
  <c r="N105" i="14"/>
  <c r="M153" i="14"/>
  <c r="X167" i="14"/>
  <c r="AB222" i="14"/>
  <c r="M149" i="14"/>
  <c r="Y314" i="14"/>
  <c r="AB321" i="14"/>
  <c r="M293" i="14"/>
  <c r="AI301" i="14"/>
  <c r="Y231" i="14"/>
  <c r="AI40" i="14"/>
  <c r="M138" i="14"/>
  <c r="M342" i="14"/>
  <c r="AI117" i="14"/>
  <c r="X261" i="14"/>
  <c r="AN52" i="14"/>
  <c r="X306" i="14"/>
  <c r="X132" i="14"/>
  <c r="AI70" i="14"/>
  <c r="AI31" i="14"/>
  <c r="N266" i="14"/>
  <c r="AN359" i="14"/>
  <c r="Y55" i="14"/>
  <c r="Z162" i="14"/>
  <c r="AB366" i="14"/>
  <c r="Y50" i="14"/>
  <c r="M170" i="14"/>
  <c r="N148" i="14"/>
  <c r="M216" i="14"/>
  <c r="AI114" i="14"/>
  <c r="M310" i="14"/>
  <c r="N218" i="14"/>
  <c r="AB314" i="14"/>
  <c r="N188" i="14"/>
  <c r="Y320" i="14"/>
  <c r="AI168" i="14"/>
  <c r="X183" i="14"/>
  <c r="Z347" i="14"/>
  <c r="Z41" i="14"/>
  <c r="AN77" i="14"/>
  <c r="Z99" i="14"/>
  <c r="Z69" i="14"/>
  <c r="AB173" i="14"/>
  <c r="AI327" i="14"/>
  <c r="X256" i="14"/>
  <c r="AI165" i="14"/>
  <c r="Y195" i="14"/>
  <c r="AN42" i="14"/>
  <c r="AI334" i="14"/>
  <c r="X252" i="14"/>
  <c r="Y365" i="14"/>
  <c r="Z176" i="14"/>
  <c r="Y339" i="14"/>
  <c r="AN318" i="14"/>
  <c r="AB183" i="14"/>
  <c r="M74" i="14"/>
  <c r="Z273" i="14"/>
  <c r="AN270" i="14"/>
  <c r="Z274" i="14"/>
  <c r="Z76" i="14"/>
  <c r="Z349" i="14"/>
  <c r="Y244" i="14"/>
  <c r="X344" i="14"/>
  <c r="M336" i="14"/>
  <c r="X138" i="14"/>
  <c r="AI141" i="14"/>
  <c r="M297" i="14"/>
  <c r="Z248" i="14"/>
  <c r="AI214" i="14"/>
  <c r="X178" i="14"/>
  <c r="Z149" i="14"/>
  <c r="AI238" i="14"/>
  <c r="M121" i="14"/>
  <c r="AB361" i="14"/>
  <c r="Z262" i="14"/>
  <c r="X168" i="14"/>
  <c r="Y334" i="14"/>
  <c r="X333" i="14"/>
  <c r="AI234" i="14"/>
  <c r="AI315" i="14"/>
  <c r="Y319" i="14"/>
  <c r="Y338" i="14"/>
  <c r="X298" i="14"/>
  <c r="X123" i="14"/>
  <c r="Y96" i="14"/>
  <c r="AI206" i="14"/>
  <c r="N104" i="14"/>
  <c r="N338" i="14"/>
  <c r="X203" i="14"/>
  <c r="AB197" i="14"/>
  <c r="Y257" i="14"/>
  <c r="Y322" i="14"/>
  <c r="M263" i="14"/>
  <c r="N306" i="14"/>
  <c r="X84" i="14"/>
  <c r="N36" i="14"/>
  <c r="AI120" i="14"/>
  <c r="Y212" i="14"/>
  <c r="AI192" i="14"/>
  <c r="AB140" i="14"/>
  <c r="AB338" i="14"/>
  <c r="AN251" i="14"/>
  <c r="AB345" i="14"/>
  <c r="X342" i="14"/>
  <c r="M31" i="14"/>
  <c r="AN360" i="14"/>
  <c r="M181" i="14"/>
  <c r="AB161" i="14"/>
  <c r="AN89" i="14"/>
  <c r="AB106" i="14"/>
  <c r="X259" i="14"/>
  <c r="AN268" i="14"/>
  <c r="Z275" i="14"/>
  <c r="N145" i="14"/>
  <c r="X80" i="14"/>
  <c r="N34" i="14"/>
  <c r="M133" i="14"/>
  <c r="N120" i="14"/>
  <c r="AB309" i="14"/>
  <c r="N61" i="14"/>
  <c r="Y294" i="14"/>
  <c r="AN159" i="14"/>
  <c r="Y283" i="14"/>
  <c r="AI273" i="14"/>
  <c r="AN178" i="14"/>
  <c r="Z366" i="14"/>
  <c r="X131" i="14"/>
  <c r="N296" i="14"/>
  <c r="Z49" i="14"/>
  <c r="AN134" i="14"/>
  <c r="AI167" i="14"/>
  <c r="AI137" i="14"/>
  <c r="AB117" i="14"/>
  <c r="Z232" i="14"/>
  <c r="Z246" i="14"/>
  <c r="Z326" i="14"/>
  <c r="AN104" i="14"/>
  <c r="N147" i="14"/>
  <c r="Z42" i="14"/>
  <c r="M62" i="14"/>
  <c r="X30" i="14"/>
  <c r="Y216" i="14"/>
  <c r="X151" i="14"/>
  <c r="AI99" i="14"/>
  <c r="X187" i="14"/>
  <c r="Z338" i="14"/>
  <c r="AB343" i="14"/>
  <c r="N130" i="14"/>
  <c r="X156" i="14"/>
  <c r="Z134" i="14"/>
  <c r="Z299" i="14"/>
  <c r="AB350" i="14"/>
  <c r="AI178" i="14"/>
  <c r="M178" i="14"/>
  <c r="Y31" i="14"/>
  <c r="Z128" i="14"/>
  <c r="Y355" i="14"/>
  <c r="Z233" i="14"/>
  <c r="M209" i="14"/>
  <c r="AN66" i="14"/>
  <c r="N220" i="14"/>
  <c r="M271" i="14"/>
  <c r="AI318" i="14"/>
  <c r="Y139" i="14"/>
  <c r="Y66" i="14"/>
  <c r="Z85" i="14"/>
  <c r="N211" i="14"/>
  <c r="AN40" i="14"/>
  <c r="N351" i="14"/>
  <c r="Z321" i="14"/>
  <c r="Z228" i="14"/>
  <c r="Z100" i="14"/>
  <c r="AI276" i="14"/>
  <c r="X279" i="14"/>
  <c r="AB271" i="14"/>
  <c r="AI79" i="14"/>
  <c r="AI80" i="14"/>
  <c r="AI347" i="14"/>
  <c r="AI258" i="14"/>
  <c r="Y369" i="14"/>
  <c r="Z356" i="14"/>
  <c r="X241" i="14"/>
  <c r="AI128" i="14"/>
  <c r="N221" i="14"/>
  <c r="Y168" i="14"/>
  <c r="AB281" i="14"/>
  <c r="Y288" i="14"/>
  <c r="Y295" i="14"/>
  <c r="AB278" i="14"/>
  <c r="M255" i="14"/>
  <c r="AI337" i="14"/>
  <c r="Y267" i="14"/>
  <c r="Y143" i="14"/>
  <c r="Y353" i="14"/>
  <c r="AI93" i="14"/>
  <c r="Y198" i="14"/>
  <c r="AI126" i="14"/>
  <c r="AB174" i="14"/>
  <c r="AN341" i="14"/>
  <c r="Y351" i="14"/>
  <c r="AN99" i="14"/>
  <c r="N44" i="14"/>
  <c r="AN303" i="14"/>
  <c r="M50" i="14"/>
  <c r="X39" i="14"/>
  <c r="Z247" i="14"/>
  <c r="N99" i="14"/>
  <c r="Y63" i="14"/>
  <c r="Z215" i="14"/>
  <c r="AN226" i="14"/>
  <c r="AB355" i="14"/>
  <c r="AB219" i="14"/>
  <c r="AI174" i="14"/>
  <c r="AB114" i="14"/>
  <c r="AB171" i="14"/>
  <c r="AB224" i="14"/>
  <c r="M362" i="14"/>
  <c r="AN246" i="14"/>
  <c r="AB294" i="14"/>
  <c r="AI316" i="14"/>
  <c r="AI199" i="14"/>
  <c r="AI289" i="14"/>
  <c r="AI90" i="14"/>
  <c r="Y325" i="14"/>
  <c r="X191" i="14"/>
  <c r="Y329" i="14"/>
  <c r="N170" i="14"/>
  <c r="X129" i="14"/>
  <c r="X166" i="14"/>
  <c r="Z303" i="14"/>
  <c r="Z227" i="14"/>
  <c r="AI262" i="14"/>
  <c r="Y223" i="14"/>
  <c r="X220" i="14"/>
  <c r="AB162" i="14"/>
  <c r="AB193" i="14"/>
  <c r="M206" i="14"/>
  <c r="AN368" i="14"/>
  <c r="M180" i="14"/>
  <c r="N349" i="14"/>
  <c r="AB105" i="14"/>
  <c r="M322" i="14"/>
  <c r="Y293" i="14"/>
  <c r="AB203" i="14"/>
  <c r="AB304" i="14"/>
  <c r="AI106" i="14"/>
  <c r="M221" i="14"/>
  <c r="M186" i="14"/>
  <c r="Y364" i="14"/>
  <c r="Y90" i="14"/>
  <c r="X358" i="14"/>
  <c r="AB358" i="14"/>
  <c r="N279" i="14"/>
  <c r="AN140" i="14"/>
  <c r="Y301" i="14"/>
  <c r="AN205" i="14"/>
  <c r="X193" i="14"/>
  <c r="AI158" i="14"/>
  <c r="AN158" i="14"/>
  <c r="X99" i="14"/>
  <c r="M227" i="14"/>
  <c r="AN196" i="14"/>
  <c r="AB201" i="14"/>
  <c r="AN271" i="14"/>
  <c r="AI152" i="14"/>
  <c r="Z358" i="14"/>
  <c r="AI226" i="14"/>
  <c r="M167" i="14"/>
  <c r="Y78" i="14"/>
  <c r="Z256" i="14"/>
  <c r="X83" i="14"/>
  <c r="Y73" i="14"/>
  <c r="Y61" i="14"/>
  <c r="Y74" i="14"/>
  <c r="AN135" i="14"/>
  <c r="Z127" i="14"/>
  <c r="N330" i="14"/>
  <c r="AI222" i="14"/>
  <c r="AB310" i="14"/>
  <c r="X238" i="14"/>
  <c r="AI224" i="14"/>
  <c r="AI85" i="14"/>
  <c r="N46" i="14"/>
  <c r="AN262" i="14"/>
  <c r="M288" i="14"/>
  <c r="AB204" i="14"/>
  <c r="Z265" i="14"/>
  <c r="AI127" i="14"/>
  <c r="X82" i="14"/>
  <c r="AN355" i="14"/>
  <c r="AB300" i="14"/>
  <c r="N294" i="14"/>
  <c r="M354" i="14"/>
  <c r="AI115" i="14"/>
  <c r="AI297" i="14"/>
  <c r="N352" i="14"/>
  <c r="AB170" i="14"/>
  <c r="N91" i="14"/>
  <c r="Z285" i="14"/>
  <c r="AI160" i="14"/>
  <c r="M137" i="14"/>
  <c r="AN345" i="14"/>
  <c r="Y249" i="14"/>
  <c r="N177" i="14"/>
  <c r="N206" i="14"/>
  <c r="Y60" i="14"/>
  <c r="AN199" i="14"/>
  <c r="AI124" i="14"/>
  <c r="X337" i="14"/>
  <c r="Z195" i="14"/>
  <c r="X29" i="14"/>
  <c r="Z297" i="14"/>
  <c r="AI257" i="14"/>
  <c r="M204" i="14"/>
  <c r="N244" i="14"/>
  <c r="AN237" i="14"/>
  <c r="M343" i="14"/>
  <c r="X291" i="14"/>
  <c r="AI130" i="14"/>
  <c r="Z157" i="14"/>
  <c r="AB177" i="14"/>
  <c r="Z342" i="14"/>
  <c r="M28" i="14"/>
  <c r="M37" i="14"/>
  <c r="N149" i="14"/>
  <c r="AI83" i="14"/>
  <c r="M184" i="14"/>
  <c r="M192" i="14"/>
  <c r="AI291" i="14"/>
  <c r="AI68" i="14"/>
  <c r="AI335" i="14"/>
  <c r="AN146" i="14"/>
  <c r="X144" i="14"/>
  <c r="Z143" i="14"/>
  <c r="AB255" i="14"/>
  <c r="AI283" i="14"/>
  <c r="N48" i="14"/>
  <c r="AB249" i="14"/>
  <c r="Z81" i="14"/>
  <c r="AN172" i="14"/>
  <c r="AN224" i="14"/>
  <c r="Z73" i="14"/>
  <c r="Y34" i="14"/>
  <c r="X240" i="14"/>
  <c r="AB30" i="14"/>
  <c r="AI292" i="14"/>
  <c r="Y106" i="14"/>
  <c r="M91" i="14"/>
  <c r="Y110" i="14"/>
  <c r="Z252" i="14"/>
  <c r="N276" i="14"/>
  <c r="Z341" i="14"/>
  <c r="X207" i="14"/>
  <c r="AI319" i="14"/>
  <c r="Z367" i="14"/>
  <c r="Y228" i="14"/>
  <c r="X165" i="14"/>
  <c r="AI89" i="14"/>
  <c r="Y210" i="14"/>
  <c r="AN215" i="14"/>
  <c r="N175" i="14"/>
  <c r="AB189" i="14"/>
  <c r="AI145" i="14"/>
  <c r="X49" i="14"/>
  <c r="X53" i="14"/>
  <c r="N287" i="14"/>
  <c r="N324" i="14"/>
  <c r="X133" i="14"/>
  <c r="M173" i="14"/>
  <c r="X64" i="14"/>
  <c r="AI211" i="14"/>
  <c r="Y269" i="14"/>
  <c r="N63" i="14"/>
  <c r="AB258" i="14"/>
  <c r="Y170" i="14"/>
  <c r="N223" i="14"/>
  <c r="Y131" i="14"/>
  <c r="M177" i="14"/>
  <c r="M115" i="14"/>
  <c r="X62" i="14"/>
  <c r="AB100" i="14"/>
  <c r="Y197" i="14"/>
  <c r="M269" i="14"/>
  <c r="M238" i="14"/>
  <c r="Y161" i="14"/>
  <c r="Z231" i="14"/>
  <c r="AI271" i="14"/>
  <c r="AN102" i="14"/>
  <c r="AI72" i="14"/>
  <c r="AI189" i="14"/>
  <c r="AN44" i="14"/>
  <c r="M243" i="14"/>
  <c r="AN123" i="14"/>
  <c r="Z222" i="14"/>
  <c r="M329" i="14"/>
  <c r="AN362" i="14"/>
  <c r="Z249" i="14"/>
  <c r="AI351" i="14"/>
  <c r="X96" i="14"/>
  <c r="AB251" i="14"/>
  <c r="M248" i="14"/>
  <c r="AN46" i="14"/>
  <c r="AI231" i="14"/>
  <c r="X285" i="14"/>
  <c r="N343" i="14"/>
  <c r="AN221" i="14"/>
  <c r="M176" i="14"/>
  <c r="N318" i="14"/>
  <c r="AN242" i="14"/>
  <c r="AI294" i="14"/>
  <c r="N241" i="14"/>
  <c r="AB153" i="14"/>
  <c r="AB123" i="14"/>
  <c r="X244" i="14"/>
  <c r="X327" i="14"/>
  <c r="Z170" i="14"/>
  <c r="X324" i="14"/>
  <c r="M202" i="14"/>
  <c r="Z32" i="14"/>
  <c r="Y366" i="14"/>
  <c r="Y109" i="14"/>
  <c r="N267" i="14"/>
  <c r="Y84" i="14"/>
  <c r="AB83" i="14"/>
  <c r="AB194" i="14"/>
  <c r="N239" i="14"/>
  <c r="Z129" i="14"/>
  <c r="Y46" i="14"/>
  <c r="M283" i="14"/>
  <c r="M142" i="14"/>
  <c r="Z279" i="14"/>
  <c r="N340" i="14"/>
  <c r="AB254" i="14"/>
  <c r="X360" i="14"/>
  <c r="M162" i="14"/>
  <c r="AB328" i="14"/>
  <c r="AI242" i="14"/>
  <c r="AN74" i="14"/>
  <c r="AB168" i="14"/>
  <c r="Y67" i="14"/>
  <c r="M38" i="14"/>
  <c r="Z163" i="14"/>
  <c r="AI37" i="14"/>
  <c r="AN190" i="14"/>
  <c r="Y127" i="14"/>
  <c r="Y277" i="14"/>
  <c r="AN258" i="14"/>
  <c r="X258" i="14"/>
  <c r="X330" i="14"/>
  <c r="M352" i="14"/>
  <c r="AB57" i="14"/>
  <c r="AI285" i="14"/>
  <c r="AN153" i="14"/>
  <c r="AN30" i="14"/>
  <c r="Y133" i="14"/>
  <c r="M325" i="14"/>
  <c r="Z93" i="14"/>
  <c r="Z182" i="14"/>
  <c r="M96" i="14"/>
  <c r="Z53" i="14"/>
  <c r="AI139" i="14"/>
  <c r="AB52" i="14"/>
  <c r="Y311" i="14"/>
  <c r="AI119" i="14"/>
  <c r="AB241" i="14"/>
  <c r="Y333" i="14"/>
  <c r="M363" i="14"/>
  <c r="AN155" i="14"/>
  <c r="AI95" i="14"/>
  <c r="Y99" i="14"/>
  <c r="AN354" i="14"/>
  <c r="AN191" i="14"/>
  <c r="AN299" i="14"/>
  <c r="AB247" i="14"/>
  <c r="Y282" i="14"/>
  <c r="AB261" i="14"/>
  <c r="M298" i="14"/>
  <c r="N235" i="14"/>
  <c r="Z35" i="14"/>
  <c r="Z270" i="14"/>
  <c r="Y286" i="14"/>
  <c r="M224" i="14"/>
  <c r="AN264" i="14"/>
  <c r="N191" i="14"/>
  <c r="Z259" i="14"/>
  <c r="M313" i="14"/>
  <c r="AN356" i="14"/>
  <c r="N286" i="14"/>
  <c r="Z354" i="14"/>
  <c r="AB178" i="14"/>
  <c r="X356" i="14"/>
  <c r="M58" i="14"/>
  <c r="Z360" i="14"/>
  <c r="Y35" i="14"/>
  <c r="AI135" i="14"/>
  <c r="N159" i="14"/>
  <c r="AN54" i="14"/>
  <c r="X307" i="14"/>
  <c r="M306" i="14"/>
  <c r="M150" i="14"/>
  <c r="AN61" i="14"/>
  <c r="M75" i="14"/>
  <c r="Z61" i="14"/>
  <c r="AN33" i="14"/>
  <c r="AN110" i="14"/>
  <c r="Z352" i="14"/>
  <c r="Z54" i="14"/>
  <c r="Z200" i="14"/>
  <c r="M232" i="14"/>
  <c r="AI131" i="14"/>
  <c r="AI204" i="14"/>
  <c r="AN340" i="14"/>
  <c r="AI267" i="14"/>
  <c r="AB352" i="14"/>
  <c r="AI163" i="14"/>
  <c r="Z122" i="14"/>
  <c r="AB225" i="14"/>
  <c r="Y331" i="14"/>
  <c r="M84" i="14"/>
  <c r="X32" i="14"/>
  <c r="AB237" i="14"/>
  <c r="N80" i="14"/>
  <c r="AI73" i="14"/>
  <c r="M59" i="14"/>
  <c r="AN317" i="14"/>
  <c r="Z43" i="14"/>
  <c r="AB326" i="14"/>
  <c r="Y156" i="14"/>
  <c r="M69" i="14"/>
  <c r="Y155" i="14"/>
  <c r="Z102" i="14"/>
  <c r="AN283" i="14"/>
  <c r="M330" i="14"/>
  <c r="Y95" i="14"/>
  <c r="AN130" i="14"/>
  <c r="Y40" i="14"/>
  <c r="X249" i="14"/>
  <c r="AB240" i="14"/>
  <c r="N109" i="14"/>
  <c r="AB119" i="14"/>
  <c r="N165" i="14"/>
  <c r="Z324" i="14"/>
  <c r="Z137" i="14"/>
  <c r="Z178" i="14"/>
  <c r="Z187" i="14"/>
  <c r="AN117" i="14"/>
  <c r="Z57" i="14"/>
  <c r="AB349" i="14"/>
  <c r="Z328" i="14"/>
  <c r="AI331" i="14"/>
  <c r="AN238" i="14"/>
  <c r="X349" i="14"/>
  <c r="X225" i="14"/>
  <c r="M122" i="14"/>
  <c r="X95" i="14"/>
  <c r="X275" i="14"/>
  <c r="AB363" i="14"/>
  <c r="AN45" i="14"/>
  <c r="Z201" i="14"/>
  <c r="Y144" i="14"/>
  <c r="X223" i="14"/>
  <c r="AB288" i="14"/>
  <c r="M359" i="14"/>
  <c r="X300" i="14"/>
  <c r="AI254" i="14"/>
  <c r="Z56" i="14"/>
  <c r="AN325" i="14"/>
  <c r="Z58" i="14"/>
  <c r="N146" i="14"/>
  <c r="X28" i="14"/>
  <c r="Z92" i="14"/>
  <c r="X140" i="14"/>
  <c r="N96" i="14"/>
  <c r="AI304" i="14"/>
  <c r="AB217" i="14"/>
  <c r="AB28" i="14"/>
  <c r="AN73" i="14"/>
  <c r="M321" i="14"/>
  <c r="AB276" i="14"/>
  <c r="Z91" i="14"/>
  <c r="X148" i="14"/>
  <c r="AI332" i="14"/>
  <c r="AN348" i="14"/>
  <c r="Z120" i="14"/>
  <c r="X348" i="14"/>
  <c r="AB104" i="14"/>
  <c r="N43" i="14"/>
  <c r="M67" i="14"/>
  <c r="N88" i="14"/>
  <c r="AI313" i="14"/>
  <c r="AI61" i="14"/>
  <c r="X353" i="14"/>
  <c r="X159" i="14"/>
  <c r="Z230" i="14"/>
  <c r="AN285" i="14"/>
  <c r="AB365" i="14"/>
  <c r="N181" i="14"/>
  <c r="M257" i="14"/>
  <c r="AI183" i="14"/>
  <c r="AN60" i="14"/>
  <c r="AB175" i="14"/>
  <c r="X102" i="14"/>
  <c r="M312" i="14"/>
  <c r="M295" i="14"/>
  <c r="X71" i="14"/>
  <c r="Z207" i="14"/>
  <c r="M103" i="14"/>
  <c r="N111" i="14"/>
  <c r="AB154" i="14"/>
  <c r="M32" i="14"/>
  <c r="AB147" i="14"/>
  <c r="N202" i="14"/>
  <c r="M315" i="14"/>
  <c r="AN203" i="14"/>
  <c r="Y258" i="14"/>
  <c r="AN366" i="14"/>
  <c r="Y107" i="14"/>
  <c r="AN132" i="14"/>
  <c r="M307" i="14"/>
  <c r="N270" i="14"/>
  <c r="N95" i="14"/>
  <c r="AI53" i="14"/>
  <c r="X87" i="14"/>
  <c r="M296" i="14"/>
  <c r="Z77" i="14"/>
  <c r="AN295" i="14"/>
  <c r="AI340" i="14"/>
  <c r="AI274" i="14"/>
  <c r="AN305" i="14"/>
  <c r="AN315" i="14"/>
  <c r="Z136" i="14"/>
  <c r="AN97" i="14"/>
  <c r="N358" i="14"/>
  <c r="Y120" i="14"/>
  <c r="Y62" i="14"/>
  <c r="M165" i="14"/>
  <c r="M340" i="14"/>
  <c r="AB290" i="14"/>
  <c r="M49" i="14"/>
  <c r="X314" i="14"/>
  <c r="Y362" i="14"/>
  <c r="AB367" i="14"/>
  <c r="X97" i="14"/>
  <c r="AN161" i="14"/>
  <c r="N231" i="14"/>
  <c r="M127" i="14"/>
  <c r="N268" i="14"/>
  <c r="AN166" i="14"/>
  <c r="AB155" i="14"/>
  <c r="N161" i="14"/>
  <c r="AN256" i="14"/>
  <c r="AI59" i="14"/>
  <c r="Z243" i="14"/>
  <c r="Z179" i="14"/>
  <c r="N284" i="14"/>
  <c r="AI309" i="14"/>
  <c r="Z80" i="14"/>
  <c r="AB116" i="14"/>
  <c r="M108" i="14"/>
  <c r="Z171" i="14"/>
  <c r="Z334" i="14"/>
  <c r="Y287" i="14"/>
  <c r="Y159" i="14"/>
  <c r="N321" i="14"/>
  <c r="M337" i="14"/>
  <c r="N229" i="14"/>
  <c r="N173" i="14"/>
  <c r="Y284" i="14"/>
  <c r="M169" i="14"/>
  <c r="Z323" i="14"/>
  <c r="AN188" i="14"/>
  <c r="N183" i="14"/>
  <c r="AN350" i="14"/>
  <c r="M64" i="14"/>
  <c r="AN94" i="14"/>
  <c r="M291" i="14"/>
  <c r="AI367" i="14"/>
  <c r="Z166" i="14"/>
  <c r="M244" i="14"/>
  <c r="M360" i="14"/>
  <c r="AB306" i="14"/>
  <c r="Z72" i="14"/>
  <c r="N121" i="14"/>
  <c r="N35" i="14"/>
  <c r="Z108" i="14"/>
  <c r="AI77" i="14"/>
  <c r="Z47" i="14"/>
  <c r="N107" i="14"/>
  <c r="Y273" i="14"/>
  <c r="Z154" i="14"/>
  <c r="AI153" i="14"/>
  <c r="Z65" i="14"/>
  <c r="AB64" i="14"/>
  <c r="Y336" i="14"/>
  <c r="N216" i="14"/>
  <c r="Z125" i="14"/>
  <c r="N341" i="14"/>
  <c r="Z159" i="14"/>
  <c r="Y246" i="14"/>
  <c r="AN367" i="14"/>
  <c r="X139" i="14"/>
  <c r="M36" i="14"/>
  <c r="AI354" i="14"/>
  <c r="Z113" i="14"/>
  <c r="X230" i="14"/>
  <c r="AB137" i="14"/>
  <c r="Y174" i="14"/>
  <c r="X188" i="14"/>
  <c r="AI263" i="14"/>
  <c r="AB128" i="14"/>
  <c r="N364" i="14"/>
  <c r="N225" i="14"/>
  <c r="Z133" i="14"/>
  <c r="AI225" i="14"/>
  <c r="AB362" i="14"/>
  <c r="X54" i="14"/>
  <c r="AI71" i="14"/>
  <c r="M54" i="14"/>
  <c r="N337" i="14"/>
  <c r="Z258" i="14"/>
  <c r="AB190" i="14"/>
  <c r="Y324" i="14"/>
  <c r="M233" i="14"/>
  <c r="AB164" i="14"/>
  <c r="AI288" i="14"/>
  <c r="AI269" i="14"/>
  <c r="X157" i="14"/>
  <c r="AB316" i="14"/>
  <c r="Y30" i="14"/>
  <c r="AN314" i="14"/>
  <c r="M319" i="14"/>
  <c r="AB213" i="14"/>
  <c r="Y179" i="14"/>
  <c r="N227" i="14"/>
  <c r="N232" i="14"/>
  <c r="Y292" i="14"/>
  <c r="AB142" i="14"/>
  <c r="N356" i="14"/>
  <c r="X149" i="14"/>
  <c r="Z156" i="14"/>
  <c r="M140" i="14"/>
  <c r="N189" i="14"/>
  <c r="N307" i="14"/>
  <c r="M239" i="14"/>
  <c r="X57" i="14"/>
  <c r="M234" i="14"/>
  <c r="Z168" i="14"/>
  <c r="Z304" i="14"/>
  <c r="N199" i="14"/>
  <c r="Y367" i="14"/>
  <c r="Z55" i="14"/>
  <c r="N248" i="14"/>
  <c r="Z280" i="14"/>
  <c r="AN138" i="14"/>
  <c r="X147" i="14"/>
  <c r="AI34" i="14"/>
  <c r="N264" i="14"/>
  <c r="X90" i="14"/>
  <c r="X282" i="14"/>
  <c r="AI299" i="14"/>
  <c r="X219" i="14"/>
  <c r="X317" i="14"/>
  <c r="M175" i="14"/>
  <c r="AN296" i="14"/>
  <c r="AN241" i="14"/>
  <c r="Z311" i="14"/>
  <c r="X269" i="14"/>
  <c r="M195" i="14"/>
  <c r="X181" i="14"/>
  <c r="X322" i="14"/>
  <c r="Y103" i="14"/>
  <c r="AI103" i="14"/>
  <c r="AI38" i="14"/>
  <c r="Y296" i="14"/>
  <c r="AB342" i="14"/>
  <c r="X237" i="14"/>
  <c r="Z116" i="14"/>
  <c r="N288" i="14"/>
  <c r="AB257" i="14"/>
  <c r="N72" i="14"/>
  <c r="N64" i="14"/>
  <c r="AN80" i="14"/>
  <c r="AN183" i="14"/>
  <c r="X100" i="14"/>
  <c r="M275" i="14"/>
  <c r="Z98" i="14"/>
  <c r="N89" i="14"/>
  <c r="X31" i="14"/>
  <c r="X50" i="14"/>
  <c r="N263" i="14"/>
  <c r="Z302" i="14"/>
  <c r="AN300" i="14"/>
  <c r="Z229" i="14"/>
  <c r="Z144" i="14"/>
  <c r="AB239" i="14"/>
  <c r="M229" i="14"/>
  <c r="Z145" i="14"/>
  <c r="M251" i="14"/>
  <c r="AI364" i="14"/>
  <c r="N357" i="14"/>
  <c r="M182" i="14"/>
  <c r="AI352" i="14"/>
  <c r="Y175" i="14"/>
  <c r="AI295" i="14"/>
  <c r="AB37" i="14"/>
  <c r="AB143" i="14"/>
  <c r="N179" i="14"/>
  <c r="Y32" i="14"/>
  <c r="N54" i="14"/>
  <c r="N271" i="14"/>
  <c r="M53" i="14"/>
  <c r="Z193" i="14"/>
  <c r="M351" i="14"/>
  <c r="Z96" i="14"/>
  <c r="AB234" i="14"/>
  <c r="M29" i="14"/>
  <c r="AN93" i="14"/>
  <c r="AN327" i="14"/>
  <c r="M205" i="14"/>
  <c r="Y323" i="14"/>
  <c r="M190" i="14"/>
  <c r="AN192" i="14"/>
  <c r="AI221" i="14"/>
  <c r="Z192" i="14"/>
  <c r="Z291" i="14"/>
  <c r="N194" i="14"/>
  <c r="X190" i="14"/>
  <c r="Y225" i="14"/>
  <c r="AN337" i="14"/>
  <c r="M203" i="14"/>
  <c r="M305" i="14"/>
  <c r="Y80" i="14"/>
  <c r="M68" i="14"/>
  <c r="AN59" i="14"/>
  <c r="AB157" i="14"/>
  <c r="Z241" i="14"/>
  <c r="N201" i="14"/>
  <c r="AB298" i="14"/>
  <c r="AN92" i="14"/>
  <c r="AN235" i="14"/>
  <c r="Z71" i="14"/>
  <c r="Z225" i="14"/>
  <c r="N153" i="14"/>
  <c r="X336" i="14"/>
  <c r="Z118" i="14"/>
  <c r="Y75" i="14"/>
  <c r="Z340" i="14"/>
  <c r="AI123" i="14"/>
  <c r="C37" i="11" s="1"/>
  <c r="Z75" i="14"/>
  <c r="M270" i="14"/>
  <c r="AN204" i="14"/>
  <c r="X260" i="14"/>
  <c r="AN76" i="14"/>
  <c r="AN218" i="14"/>
  <c r="Z131" i="14"/>
  <c r="M90" i="14"/>
  <c r="N52" i="14"/>
  <c r="X326" i="14"/>
  <c r="M215" i="14"/>
  <c r="AB243" i="14"/>
  <c r="N224" i="14"/>
  <c r="AB149" i="14"/>
  <c r="N182" i="14"/>
  <c r="N67" i="14"/>
  <c r="AI329" i="14"/>
  <c r="Z350" i="14"/>
  <c r="M242" i="14"/>
  <c r="Z313" i="14"/>
  <c r="AB291" i="14"/>
  <c r="AB124" i="14"/>
  <c r="Y126" i="14"/>
  <c r="M56" i="14"/>
  <c r="AB111" i="14"/>
  <c r="M249" i="14"/>
  <c r="Y138" i="14"/>
  <c r="N228" i="14"/>
  <c r="AI212" i="14"/>
  <c r="Y340" i="14"/>
  <c r="N292" i="14"/>
  <c r="AI233" i="14"/>
  <c r="M98" i="14"/>
  <c r="AB36" i="14"/>
  <c r="Y240" i="14"/>
  <c r="Y37" i="14"/>
  <c r="AB272" i="14"/>
  <c r="AB50" i="14"/>
  <c r="Y206" i="14"/>
  <c r="Y305" i="14"/>
  <c r="Y53" i="14"/>
  <c r="AI107" i="14"/>
  <c r="Y160" i="14"/>
  <c r="X56" i="14"/>
  <c r="X162" i="14"/>
  <c r="AN91" i="14"/>
  <c r="X60" i="14"/>
  <c r="Z167" i="14"/>
  <c r="X163" i="14"/>
  <c r="M135" i="14"/>
  <c r="X175" i="14"/>
  <c r="AB145" i="14"/>
  <c r="X111" i="14"/>
  <c r="Z277" i="14"/>
  <c r="N326" i="14"/>
  <c r="AI74" i="14"/>
  <c r="Y104" i="14"/>
  <c r="X323" i="14"/>
  <c r="Y94" i="14"/>
  <c r="X354" i="14"/>
  <c r="X246" i="14"/>
  <c r="M290" i="14"/>
  <c r="Z151" i="14"/>
  <c r="Y86" i="14"/>
  <c r="AB152" i="14"/>
  <c r="Y76" i="14"/>
  <c r="AB317" i="14"/>
  <c r="Y243" i="14"/>
  <c r="M113" i="14"/>
  <c r="Y142" i="14"/>
  <c r="AN233" i="14"/>
  <c r="AI259" i="14"/>
  <c r="M258" i="14"/>
  <c r="M146" i="14"/>
  <c r="N251" i="14"/>
  <c r="Z63" i="14"/>
  <c r="AB331" i="14"/>
  <c r="AN298" i="14"/>
  <c r="X308" i="14"/>
  <c r="Y112" i="14"/>
  <c r="Z52" i="14"/>
  <c r="AN67" i="14"/>
  <c r="AI101" i="14"/>
  <c r="AB132" i="14"/>
  <c r="X154" i="14"/>
  <c r="AN301" i="14"/>
  <c r="AN35" i="14"/>
  <c r="Z329" i="14"/>
  <c r="X281" i="14"/>
  <c r="Y238" i="14"/>
  <c r="N236" i="14"/>
  <c r="AN208" i="14"/>
  <c r="AI235" i="14"/>
  <c r="X48" i="14"/>
  <c r="AI111" i="14"/>
  <c r="M289" i="14"/>
  <c r="Y209" i="14"/>
  <c r="Z121" i="14"/>
  <c r="AN170" i="14"/>
  <c r="Z59" i="14"/>
  <c r="Z50" i="14"/>
  <c r="Z322" i="14"/>
  <c r="Y102" i="14"/>
  <c r="Z235" i="14"/>
  <c r="AN217" i="14"/>
  <c r="M212" i="14"/>
  <c r="AI161" i="14"/>
  <c r="M112" i="14"/>
  <c r="Y135" i="14"/>
  <c r="X98" i="14"/>
  <c r="N168" i="14"/>
  <c r="AI362" i="14"/>
  <c r="AN180" i="14"/>
  <c r="Z38" i="14"/>
  <c r="AI118" i="14"/>
  <c r="M253" i="14"/>
  <c r="X34" i="14"/>
  <c r="Y77" i="14"/>
  <c r="AB55" i="14"/>
  <c r="Y189" i="14"/>
  <c r="Y91" i="14"/>
  <c r="X160" i="14"/>
  <c r="X41" i="14"/>
  <c r="AN240" i="14"/>
  <c r="AN147" i="14"/>
  <c r="N359" i="14"/>
  <c r="AI84" i="14"/>
  <c r="M308" i="14"/>
  <c r="AB286" i="14"/>
  <c r="N103" i="14"/>
  <c r="AB265" i="14"/>
  <c r="Y150" i="14"/>
  <c r="M334" i="14"/>
  <c r="N240" i="14"/>
  <c r="N303" i="14"/>
  <c r="Y220" i="14"/>
  <c r="N260" i="14"/>
  <c r="Z110" i="14"/>
  <c r="Y145" i="14"/>
  <c r="AI253" i="14"/>
  <c r="N311" i="14"/>
  <c r="AB165" i="14"/>
  <c r="M155" i="14"/>
  <c r="AI190" i="14"/>
  <c r="Z292" i="14"/>
  <c r="M136" i="14"/>
  <c r="N40" i="14"/>
  <c r="Z37" i="14"/>
  <c r="Z337" i="14"/>
  <c r="AI100" i="14"/>
  <c r="Y348" i="14"/>
  <c r="AN254" i="14"/>
  <c r="X128" i="14"/>
  <c r="AN106" i="14"/>
  <c r="X176" i="14"/>
  <c r="Y190" i="14"/>
  <c r="Y321" i="14"/>
  <c r="AI166" i="14"/>
  <c r="AN109" i="14"/>
  <c r="Z119" i="14"/>
  <c r="AI57" i="14"/>
  <c r="N322" i="14"/>
  <c r="Z106" i="14"/>
  <c r="AN50" i="14"/>
  <c r="X224" i="14"/>
  <c r="AN275" i="14"/>
  <c r="AI314" i="14"/>
  <c r="N245" i="14"/>
  <c r="AB333" i="14"/>
  <c r="Y178" i="14"/>
  <c r="Y233" i="14"/>
  <c r="X266" i="14"/>
  <c r="AB337" i="14"/>
  <c r="X257" i="14"/>
  <c r="N196" i="14"/>
  <c r="X367" i="14"/>
  <c r="Z295" i="14"/>
  <c r="M188" i="14"/>
  <c r="M348" i="14"/>
  <c r="AB81" i="14"/>
  <c r="AI220" i="14"/>
  <c r="X341" i="14"/>
  <c r="AI363" i="14"/>
  <c r="X158" i="14"/>
  <c r="AN269" i="14"/>
  <c r="Z219" i="14"/>
  <c r="AN136" i="14"/>
  <c r="AN187" i="14"/>
  <c r="AB346" i="14"/>
  <c r="Z161" i="14"/>
  <c r="AN365" i="14"/>
  <c r="AB285" i="14"/>
  <c r="X274" i="14"/>
  <c r="N154" i="14"/>
  <c r="M183" i="14"/>
  <c r="AB256" i="14"/>
  <c r="AI184" i="14"/>
  <c r="AN152" i="14"/>
  <c r="X276" i="14"/>
  <c r="AB32" i="14"/>
  <c r="X278" i="14"/>
  <c r="M320" i="14"/>
  <c r="Z325" i="14"/>
  <c r="N114" i="14"/>
  <c r="AB139" i="14"/>
  <c r="AB107" i="14"/>
  <c r="AB71" i="14"/>
  <c r="N65" i="14"/>
  <c r="M92" i="14"/>
  <c r="AI45" i="14"/>
  <c r="Z194" i="14"/>
  <c r="AN171" i="14"/>
  <c r="AI284" i="14"/>
  <c r="AN176" i="14"/>
  <c r="X361" i="14"/>
  <c r="AB169" i="14"/>
  <c r="Z217" i="14"/>
  <c r="X242" i="14"/>
  <c r="Y28" i="14"/>
  <c r="N49" i="14"/>
  <c r="Y185" i="14"/>
  <c r="N140" i="14"/>
  <c r="AI201" i="14"/>
  <c r="AN346" i="14"/>
  <c r="Z40" i="14"/>
  <c r="M70" i="14"/>
  <c r="Z260" i="14"/>
  <c r="Z148" i="14"/>
  <c r="AB357" i="14"/>
  <c r="N310" i="14"/>
  <c r="AB253" i="14"/>
  <c r="Y308" i="14"/>
  <c r="M55" i="14"/>
  <c r="N97" i="14"/>
  <c r="AN144" i="14"/>
  <c r="X182" i="14"/>
  <c r="M208" i="14"/>
  <c r="M187" i="14"/>
  <c r="M266" i="14"/>
  <c r="M264" i="14"/>
  <c r="Z67" i="14"/>
  <c r="Y256" i="14"/>
  <c r="AI181" i="14"/>
  <c r="AN306" i="14"/>
  <c r="Y116" i="14"/>
  <c r="AB95" i="14"/>
  <c r="AI108" i="14"/>
  <c r="M284" i="14"/>
  <c r="AN223" i="14"/>
  <c r="M185" i="14"/>
  <c r="X42" i="14"/>
  <c r="Y56" i="14"/>
  <c r="Z146" i="14"/>
  <c r="AB102" i="14"/>
  <c r="Y118" i="14"/>
  <c r="N166" i="14"/>
  <c r="AN184" i="14"/>
  <c r="Y100" i="14"/>
  <c r="AN198" i="14"/>
  <c r="AB166" i="14"/>
  <c r="Y318" i="14"/>
  <c r="X40" i="14"/>
  <c r="AB73" i="14"/>
  <c r="Z346" i="14"/>
  <c r="N129" i="14"/>
  <c r="Z203" i="14"/>
  <c r="AN126" i="14"/>
  <c r="X47" i="14"/>
  <c r="N90" i="14"/>
  <c r="N346" i="14"/>
  <c r="N133" i="14"/>
  <c r="M274" i="14"/>
  <c r="Y163" i="14"/>
  <c r="Z361" i="14"/>
  <c r="AB223" i="14"/>
  <c r="Y255" i="14"/>
  <c r="X304" i="14"/>
  <c r="AN201" i="14"/>
  <c r="N278" i="14"/>
  <c r="Z308" i="14"/>
  <c r="Y171" i="14"/>
  <c r="Y58" i="14"/>
  <c r="X232" i="14"/>
  <c r="AI344" i="14"/>
  <c r="Y263" i="14"/>
  <c r="N108" i="14"/>
  <c r="N81" i="14"/>
  <c r="Z216" i="14"/>
  <c r="M35" i="14"/>
  <c r="AB233" i="14"/>
  <c r="Z238" i="14"/>
  <c r="AN193" i="14"/>
  <c r="AN248" i="14"/>
  <c r="AI333" i="14"/>
  <c r="M353" i="14"/>
  <c r="Y265" i="14"/>
  <c r="AB89" i="14"/>
  <c r="X264" i="14"/>
  <c r="AN263" i="14"/>
  <c r="N253" i="14"/>
  <c r="M345" i="14"/>
  <c r="Z51" i="14"/>
  <c r="Y245" i="14"/>
  <c r="N274" i="14"/>
  <c r="Y262" i="14"/>
  <c r="AN85" i="14"/>
  <c r="Y303" i="14"/>
  <c r="Z111" i="14"/>
  <c r="AI55" i="14"/>
  <c r="N160" i="14"/>
  <c r="AN231" i="14"/>
  <c r="X265" i="14"/>
  <c r="Z283" i="14"/>
  <c r="N209" i="14"/>
  <c r="N42" i="14"/>
  <c r="X222" i="14"/>
  <c r="M355" i="14"/>
  <c r="X189" i="14"/>
  <c r="N102" i="14"/>
  <c r="AB282" i="14"/>
  <c r="N282" i="14"/>
  <c r="Y346" i="14"/>
  <c r="AI177" i="14"/>
  <c r="AI105" i="14"/>
  <c r="AB324" i="14"/>
  <c r="AN228" i="14"/>
  <c r="AN157" i="14"/>
  <c r="AN214" i="14"/>
  <c r="AN115" i="14"/>
  <c r="AN108" i="14"/>
  <c r="Y183" i="14"/>
  <c r="AI143" i="14"/>
  <c r="AN309" i="14"/>
  <c r="Z242" i="14"/>
  <c r="X197" i="14"/>
  <c r="Z198" i="14"/>
  <c r="M356" i="14"/>
  <c r="Z266" i="14"/>
  <c r="AN322" i="14"/>
  <c r="AB327" i="14"/>
  <c r="M231" i="14"/>
  <c r="X229" i="14"/>
  <c r="Y300" i="14"/>
  <c r="AN211" i="14"/>
  <c r="N316" i="14"/>
  <c r="Y81" i="14"/>
  <c r="N150" i="14"/>
  <c r="X72" i="14"/>
  <c r="AN308" i="14"/>
  <c r="N163" i="14"/>
  <c r="Z330" i="14"/>
  <c r="X287" i="14"/>
  <c r="N167" i="14"/>
  <c r="X233" i="14"/>
  <c r="X194" i="14"/>
  <c r="AI243" i="14"/>
  <c r="AN101" i="14"/>
  <c r="AB49" i="14"/>
  <c r="AN272" i="14"/>
  <c r="AI278" i="14"/>
  <c r="X340" i="14"/>
  <c r="N249" i="14"/>
  <c r="Y187" i="14"/>
  <c r="M99" i="14"/>
  <c r="AN72" i="14"/>
  <c r="Y259" i="14"/>
  <c r="AB38" i="14"/>
  <c r="Y352" i="14"/>
  <c r="X89" i="14"/>
  <c r="AN364" i="14"/>
  <c r="AN79" i="14"/>
  <c r="M118" i="14"/>
  <c r="AB335" i="14"/>
  <c r="M139" i="14"/>
  <c r="AI175" i="14"/>
  <c r="M34" i="14"/>
  <c r="X270" i="14"/>
  <c r="AI303" i="14"/>
  <c r="AB41" i="14"/>
  <c r="M194" i="14"/>
  <c r="Y165" i="14"/>
  <c r="X350" i="14"/>
  <c r="M366" i="14"/>
  <c r="X91" i="14"/>
  <c r="AI48" i="14"/>
  <c r="Y344" i="14"/>
  <c r="N38" i="14"/>
  <c r="N237" i="14"/>
  <c r="AN116" i="14"/>
  <c r="AI298" i="14"/>
  <c r="X112" i="14"/>
  <c r="Z191" i="14"/>
  <c r="Y309" i="14"/>
  <c r="AB53" i="14"/>
  <c r="Z309" i="14"/>
  <c r="AB270" i="14"/>
  <c r="N367" i="14"/>
  <c r="M47" i="14"/>
  <c r="AI281" i="14"/>
  <c r="M256" i="14"/>
  <c r="M246" i="14"/>
  <c r="N226" i="14"/>
  <c r="AB75" i="14"/>
  <c r="N192" i="14"/>
  <c r="AB313" i="14"/>
  <c r="N355" i="14"/>
  <c r="X301" i="14"/>
  <c r="AI217" i="14"/>
  <c r="Z84" i="14"/>
  <c r="Y290" i="14"/>
  <c r="N115" i="14"/>
  <c r="AI180" i="14"/>
  <c r="Y315" i="14"/>
  <c r="AI75" i="14"/>
  <c r="X46" i="14"/>
  <c r="M110" i="14"/>
  <c r="M101" i="14"/>
  <c r="AN297" i="14"/>
  <c r="N187" i="14"/>
  <c r="AI317" i="14"/>
  <c r="X55" i="14"/>
  <c r="AN230" i="14"/>
  <c r="Y152" i="14"/>
  <c r="AI272" i="14"/>
  <c r="AI241" i="14"/>
  <c r="Y44" i="14"/>
  <c r="Z287" i="14"/>
  <c r="Y146" i="14"/>
  <c r="AI188" i="14"/>
  <c r="Z141" i="14"/>
  <c r="N246" i="14"/>
  <c r="Z226" i="14"/>
  <c r="M365" i="14"/>
  <c r="N37" i="14"/>
  <c r="Z357" i="14"/>
  <c r="M80" i="14"/>
  <c r="AI296" i="14"/>
  <c r="AN95" i="14"/>
  <c r="AB65" i="14"/>
  <c r="Y158" i="14"/>
  <c r="X37" i="14"/>
  <c r="M252" i="14"/>
  <c r="X43" i="14"/>
  <c r="X235" i="14"/>
  <c r="X272" i="14"/>
  <c r="X351" i="14"/>
  <c r="Y49" i="14"/>
  <c r="AN331" i="14"/>
  <c r="N345" i="14"/>
  <c r="X106" i="14"/>
  <c r="AI104" i="14"/>
  <c r="AN100" i="14"/>
  <c r="M368" i="14"/>
  <c r="Y173" i="14"/>
  <c r="M304" i="14"/>
  <c r="Y117" i="14"/>
  <c r="AB43" i="14"/>
  <c r="Z240" i="14"/>
  <c r="Y70" i="14"/>
  <c r="N87" i="14"/>
  <c r="M171" i="14"/>
  <c r="AB82" i="14"/>
  <c r="X251" i="14"/>
  <c r="Y285" i="14"/>
  <c r="N203" i="14"/>
  <c r="Y93" i="14"/>
  <c r="N56" i="14"/>
  <c r="N155" i="14"/>
  <c r="Z152" i="14"/>
  <c r="N331" i="14"/>
  <c r="Y137" i="14"/>
  <c r="N76" i="14"/>
  <c r="AB287" i="14"/>
  <c r="N269" i="14"/>
  <c r="Y108" i="14"/>
  <c r="X155" i="14"/>
  <c r="X120" i="14"/>
  <c r="AN291" i="14"/>
  <c r="N68" i="14"/>
  <c r="Z89" i="14"/>
  <c r="M152" i="14"/>
  <c r="AI182" i="14"/>
  <c r="AI339" i="14"/>
  <c r="Y52" i="14"/>
  <c r="N275" i="14"/>
  <c r="X366" i="14"/>
  <c r="M364" i="14"/>
  <c r="N285" i="14"/>
  <c r="Y316" i="14"/>
  <c r="AI155" i="14"/>
  <c r="Y208" i="14"/>
  <c r="N258" i="14"/>
  <c r="X81" i="14"/>
  <c r="X215" i="14"/>
  <c r="M369" i="14"/>
  <c r="X45" i="14"/>
  <c r="N158" i="14"/>
  <c r="X116" i="14"/>
  <c r="AI305" i="14"/>
  <c r="X253" i="14"/>
  <c r="X179" i="14"/>
  <c r="X231" i="14"/>
  <c r="Y363" i="14"/>
  <c r="AB341" i="14"/>
  <c r="AB77" i="14"/>
  <c r="AB292" i="14"/>
  <c r="M82" i="14"/>
  <c r="Z296" i="14"/>
  <c r="N243" i="14"/>
  <c r="AN195" i="14"/>
  <c r="AN169" i="14"/>
  <c r="Y169" i="14"/>
  <c r="Y194" i="14"/>
  <c r="AN210" i="14"/>
  <c r="Z206" i="14"/>
  <c r="AI277" i="14"/>
  <c r="AI247" i="14"/>
  <c r="Y328" i="14"/>
  <c r="X52" i="14"/>
  <c r="AN96" i="14"/>
  <c r="AI50" i="14"/>
  <c r="Y97" i="14"/>
  <c r="AN200" i="14"/>
  <c r="Z210" i="14"/>
  <c r="AN37" i="14"/>
  <c r="X334" i="14"/>
  <c r="AB146" i="14"/>
  <c r="N39" i="14"/>
  <c r="X289" i="14"/>
  <c r="Z310" i="14"/>
  <c r="M76" i="14"/>
  <c r="AN62" i="14"/>
  <c r="M172" i="14"/>
  <c r="M299" i="14"/>
  <c r="AB44" i="14"/>
  <c r="AN143" i="14"/>
  <c r="M105" i="14"/>
  <c r="M280" i="14"/>
  <c r="AB297" i="14"/>
  <c r="AN103" i="14"/>
  <c r="AN252" i="14"/>
  <c r="Y312" i="14"/>
  <c r="AN247" i="14"/>
  <c r="Z209" i="14"/>
  <c r="AN339" i="14"/>
  <c r="AB311" i="14"/>
  <c r="Z34" i="14"/>
  <c r="AB113" i="14"/>
  <c r="Y132" i="14"/>
  <c r="N47" i="14"/>
  <c r="M46" i="14"/>
  <c r="Z180" i="14"/>
  <c r="N169" i="14"/>
  <c r="Y297" i="14"/>
  <c r="AB93" i="14"/>
  <c r="AN105" i="14"/>
  <c r="AN249" i="14"/>
  <c r="AN253" i="14"/>
  <c r="Z293" i="14"/>
  <c r="AN338" i="14"/>
  <c r="N135" i="14"/>
  <c r="M300" i="14"/>
  <c r="Y122" i="14"/>
  <c r="M52" i="14"/>
  <c r="X205" i="14"/>
  <c r="AI69" i="14"/>
  <c r="AN65" i="14"/>
  <c r="N50" i="14"/>
  <c r="Y176" i="14"/>
  <c r="N247" i="14"/>
  <c r="M211" i="14"/>
  <c r="N55" i="14"/>
  <c r="Z97" i="14"/>
  <c r="AI310" i="14"/>
  <c r="Z36" i="14"/>
  <c r="Z255" i="14"/>
  <c r="M314" i="14"/>
  <c r="AI97" i="14"/>
  <c r="M294" i="14"/>
  <c r="X101" i="14"/>
  <c r="X318" i="14"/>
  <c r="AI324" i="14"/>
  <c r="AN352" i="14"/>
  <c r="AB232" i="14"/>
  <c r="Z212" i="14"/>
  <c r="X234" i="14"/>
  <c r="AN113" i="14"/>
  <c r="Y48" i="14"/>
  <c r="N138" i="14"/>
  <c r="AB136" i="14"/>
  <c r="X44" i="14"/>
  <c r="Y310" i="14"/>
  <c r="AI341" i="14"/>
  <c r="Z332" i="14"/>
  <c r="AI169" i="14"/>
  <c r="AI88" i="14"/>
  <c r="AI42" i="14"/>
  <c r="Y302" i="14"/>
  <c r="AI51" i="14"/>
  <c r="M268" i="14"/>
  <c r="Z317" i="14"/>
  <c r="N313" i="14"/>
  <c r="X236" i="14"/>
  <c r="Y281" i="14"/>
  <c r="AN220" i="14"/>
  <c r="Z314" i="14"/>
  <c r="N118" i="14"/>
  <c r="D31" i="11"/>
  <c r="AN47" i="14"/>
  <c r="N281" i="14"/>
  <c r="X305" i="14"/>
  <c r="N117" i="14"/>
  <c r="X75" i="14"/>
  <c r="X192" i="14"/>
  <c r="AI116" i="14"/>
  <c r="M265" i="14"/>
  <c r="Y230" i="14"/>
  <c r="M267" i="14"/>
  <c r="Y89" i="14"/>
  <c r="AB329" i="14"/>
  <c r="X199" i="14"/>
  <c r="M349" i="14"/>
  <c r="N84" i="14"/>
  <c r="N106" i="14"/>
  <c r="AN227" i="14"/>
  <c r="Y264" i="14"/>
  <c r="AB110" i="14"/>
  <c r="AI312" i="14"/>
  <c r="M344" i="14"/>
  <c r="N234" i="14"/>
  <c r="X143" i="14"/>
  <c r="Y242" i="14"/>
  <c r="AB122" i="14"/>
  <c r="AI293" i="14"/>
  <c r="AB90" i="14"/>
  <c r="N219" i="14"/>
  <c r="X58" i="14"/>
  <c r="AB211" i="14"/>
  <c r="M247" i="14"/>
  <c r="Z44" i="14"/>
  <c r="AN343" i="14"/>
  <c r="AI94" i="14"/>
  <c r="Y271" i="14"/>
  <c r="X115" i="14"/>
  <c r="AN349" i="14"/>
  <c r="X292" i="14"/>
  <c r="M277" i="14"/>
  <c r="M100" i="14"/>
  <c r="M73" i="14"/>
  <c r="AB120" i="14"/>
  <c r="X211" i="14"/>
  <c r="Y167" i="14"/>
  <c r="AB167" i="14"/>
  <c r="X51" i="14"/>
  <c r="Z319" i="14"/>
  <c r="M207" i="14"/>
  <c r="AB61" i="14"/>
  <c r="AN149" i="14"/>
  <c r="AN111" i="14"/>
  <c r="X321" i="14"/>
  <c r="N30" i="14"/>
  <c r="M210" i="14"/>
  <c r="Z135" i="14"/>
  <c r="AB280" i="14"/>
  <c r="N333" i="14"/>
  <c r="Y218" i="14"/>
  <c r="X186" i="14"/>
  <c r="N152" i="14"/>
  <c r="Z150" i="14"/>
  <c r="Z263" i="14"/>
  <c r="AB198" i="14"/>
  <c r="Z109" i="14"/>
  <c r="AB126" i="14"/>
  <c r="AB182" i="14"/>
  <c r="Z355" i="14"/>
  <c r="AN145" i="14"/>
  <c r="AI196" i="14"/>
  <c r="AN70" i="14"/>
  <c r="Y128" i="14"/>
  <c r="Z70" i="14"/>
  <c r="N328" i="14"/>
  <c r="AB103" i="14"/>
  <c r="AB348" i="14"/>
  <c r="AI147" i="14"/>
  <c r="AI154" i="14"/>
  <c r="Y41" i="14"/>
  <c r="AN313" i="14"/>
  <c r="AN141" i="14"/>
  <c r="N250" i="14"/>
  <c r="AN122" i="14"/>
  <c r="AI355" i="14"/>
  <c r="AB210" i="14"/>
  <c r="Z164" i="14"/>
  <c r="Z174" i="14"/>
  <c r="AB42" i="14"/>
  <c r="AN118" i="14"/>
  <c r="Y250" i="14"/>
  <c r="AB144" i="14"/>
  <c r="AI194" i="14"/>
  <c r="AN177" i="14"/>
  <c r="N317" i="14"/>
  <c r="N348" i="14"/>
  <c r="AI58" i="14"/>
  <c r="M83" i="14"/>
  <c r="AB268" i="14"/>
  <c r="AB29" i="14"/>
  <c r="N242" i="14"/>
  <c r="X36" i="14"/>
  <c r="X295" i="14"/>
  <c r="AB70" i="14"/>
  <c r="Y253" i="14"/>
  <c r="X74" i="14"/>
  <c r="N180" i="14"/>
  <c r="N323" i="14"/>
  <c r="Y180" i="14"/>
  <c r="AN38" i="14"/>
  <c r="Z316" i="14"/>
  <c r="M145" i="14"/>
  <c r="AI162" i="14"/>
  <c r="AN282" i="14"/>
  <c r="AB330" i="14"/>
  <c r="Y193" i="14"/>
  <c r="M163" i="14"/>
  <c r="AB59" i="14"/>
  <c r="X122" i="14"/>
  <c r="Y270" i="14"/>
  <c r="M158" i="14"/>
  <c r="Z188" i="14"/>
  <c r="Z184" i="14"/>
  <c r="AN326" i="14"/>
  <c r="AN225" i="14"/>
  <c r="M226" i="14"/>
  <c r="AB62" i="14"/>
  <c r="X352" i="14"/>
  <c r="M66" i="14"/>
  <c r="X198" i="14"/>
  <c r="N83" i="14"/>
  <c r="AI179" i="14"/>
  <c r="Y304" i="14"/>
  <c r="Y298" i="14"/>
  <c r="Y356" i="14"/>
  <c r="X293" i="14"/>
  <c r="M193" i="14"/>
  <c r="N122" i="14"/>
  <c r="M143" i="14"/>
  <c r="AN294" i="14"/>
  <c r="N94" i="14"/>
  <c r="Z345" i="14"/>
  <c r="AI198" i="14"/>
  <c r="AI64" i="14"/>
  <c r="Y134" i="14"/>
  <c r="N164" i="14"/>
  <c r="AI36" i="14"/>
  <c r="Y38" i="14"/>
  <c r="Z66" i="14"/>
  <c r="AB69" i="14"/>
  <c r="AB226" i="14"/>
  <c r="X313" i="14"/>
  <c r="AN53" i="14"/>
  <c r="N304" i="14"/>
  <c r="AI159" i="14"/>
  <c r="AI29" i="14"/>
  <c r="N205" i="14"/>
  <c r="Z290" i="14"/>
  <c r="AN342" i="14"/>
  <c r="N361" i="14"/>
  <c r="X126" i="14"/>
  <c r="X267" i="14"/>
  <c r="N256" i="14"/>
  <c r="AN49" i="14"/>
  <c r="X362" i="14"/>
  <c r="X103" i="14"/>
  <c r="N190" i="14"/>
  <c r="AB289" i="14"/>
  <c r="X312" i="14"/>
  <c r="Y317" i="14"/>
  <c r="AN68" i="14"/>
  <c r="Y87" i="14"/>
  <c r="AN151" i="14"/>
  <c r="Y234" i="14"/>
  <c r="Y291" i="14"/>
  <c r="AN286" i="14"/>
  <c r="Y335" i="14"/>
  <c r="AN250" i="14"/>
  <c r="N101" i="14"/>
  <c r="X185" i="14"/>
  <c r="AN160" i="14"/>
  <c r="AN243" i="14"/>
  <c r="Z218" i="14"/>
  <c r="AN239" i="14"/>
  <c r="AI129" i="14"/>
  <c r="N207" i="14"/>
  <c r="AN156" i="14"/>
  <c r="M262" i="14"/>
  <c r="Y57" i="14"/>
  <c r="Z199" i="14"/>
  <c r="AI287" i="14"/>
  <c r="AN167" i="14"/>
  <c r="M128" i="14"/>
  <c r="X368" i="14"/>
  <c r="N255" i="14"/>
  <c r="X221" i="14"/>
  <c r="N92" i="14"/>
  <c r="Y111" i="14"/>
  <c r="Y172" i="14"/>
  <c r="Y115" i="14"/>
  <c r="Z305" i="14"/>
  <c r="N139" i="14"/>
  <c r="AB148" i="14"/>
  <c r="AB179" i="14"/>
  <c r="X316" i="14"/>
  <c r="Y177" i="14"/>
  <c r="Y42" i="14"/>
  <c r="M338" i="14"/>
  <c r="N257" i="14"/>
  <c r="AI157" i="14"/>
  <c r="X33" i="14"/>
  <c r="AB101" i="14"/>
  <c r="AN353" i="14"/>
  <c r="AI307" i="14"/>
  <c r="X286" i="14"/>
  <c r="AB158" i="14"/>
  <c r="X114" i="14"/>
  <c r="AN307" i="14"/>
  <c r="AN369" i="14"/>
  <c r="AN213" i="14"/>
  <c r="Z74" i="14"/>
  <c r="M222" i="14"/>
  <c r="M160" i="14"/>
  <c r="AN257" i="14"/>
  <c r="X76" i="14"/>
  <c r="X255" i="14"/>
  <c r="AN84" i="14"/>
  <c r="Y237" i="14"/>
  <c r="AB279" i="14"/>
  <c r="Y236" i="14"/>
  <c r="X315" i="14"/>
  <c r="M60" i="14"/>
  <c r="Z369" i="14"/>
  <c r="M109" i="14"/>
  <c r="AI132" i="14"/>
  <c r="AB334" i="14"/>
  <c r="AI244" i="14"/>
  <c r="AB151" i="14"/>
  <c r="AB86" i="14"/>
  <c r="X137" i="14"/>
  <c r="Y72" i="14"/>
  <c r="Z78" i="14"/>
  <c r="AI227" i="14"/>
  <c r="AN351" i="14"/>
  <c r="Z236" i="14"/>
  <c r="AN312" i="14"/>
  <c r="M117" i="14"/>
  <c r="AI356" i="14"/>
  <c r="Y247" i="14"/>
  <c r="AB347" i="14"/>
  <c r="X69" i="14"/>
  <c r="AI325" i="14"/>
  <c r="X209" i="14"/>
  <c r="Y326" i="14"/>
  <c r="AB264" i="14"/>
  <c r="AI96" i="14"/>
  <c r="AI164" i="14"/>
  <c r="AB220" i="14"/>
  <c r="AI345" i="14"/>
  <c r="Z189" i="14"/>
  <c r="AN107" i="14"/>
  <c r="X338" i="14"/>
  <c r="AB267" i="14"/>
  <c r="N184" i="14"/>
  <c r="N174" i="14"/>
  <c r="Y114" i="14"/>
  <c r="Y39" i="14"/>
  <c r="N93" i="14"/>
  <c r="AI268" i="14"/>
  <c r="M292" i="14"/>
  <c r="Y330" i="14"/>
  <c r="N137" i="14"/>
  <c r="Z253" i="14"/>
  <c r="Y343" i="14"/>
  <c r="N66" i="14"/>
  <c r="AI46" i="14"/>
  <c r="Y275" i="14"/>
  <c r="X296" i="14"/>
  <c r="M93" i="14"/>
  <c r="M332" i="14"/>
  <c r="Z257" i="14"/>
  <c r="X363" i="14"/>
  <c r="N86" i="14"/>
  <c r="Z123" i="14"/>
  <c r="Y224" i="14"/>
  <c r="X125" i="14"/>
  <c r="M72" i="14"/>
  <c r="M339" i="14"/>
  <c r="AB94" i="14"/>
  <c r="Z147" i="14"/>
  <c r="AN287" i="14"/>
  <c r="AB283" i="14"/>
  <c r="AN194" i="14"/>
  <c r="M156" i="14"/>
  <c r="X343" i="14"/>
  <c r="Y181" i="14"/>
  <c r="Z196" i="14"/>
  <c r="AB186" i="14"/>
  <c r="Y235" i="14"/>
  <c r="Z294" i="14"/>
  <c r="AN304" i="14"/>
  <c r="X346" i="14"/>
  <c r="Y306" i="14"/>
  <c r="Y119" i="14"/>
  <c r="Z186" i="14"/>
  <c r="N210" i="14"/>
  <c r="X164" i="14"/>
  <c r="M303" i="14"/>
  <c r="AI150" i="14"/>
  <c r="Y191" i="14"/>
  <c r="N195" i="14"/>
  <c r="Y196" i="14"/>
  <c r="Z185" i="14"/>
  <c r="X202" i="14"/>
  <c r="N291" i="14"/>
  <c r="AB246" i="14"/>
  <c r="M261" i="14"/>
  <c r="M218" i="14"/>
  <c r="N354" i="14"/>
  <c r="M201" i="14"/>
  <c r="AI33" i="14"/>
  <c r="AB68" i="14"/>
  <c r="AB115" i="14"/>
  <c r="AN284" i="14"/>
  <c r="M223" i="14"/>
  <c r="X104" i="14"/>
  <c r="M166" i="14"/>
  <c r="Y254" i="14"/>
  <c r="X63" i="14"/>
  <c r="AN236" i="14"/>
  <c r="X226" i="14"/>
  <c r="X88" i="14"/>
  <c r="Z88" i="14"/>
  <c r="Z30" i="14"/>
  <c r="AN222" i="14"/>
  <c r="Y345" i="14"/>
  <c r="X136" i="14"/>
  <c r="X319" i="14"/>
  <c r="M260" i="14"/>
  <c r="AB180" i="14"/>
  <c r="AN150" i="14"/>
  <c r="M77" i="14"/>
  <c r="M220" i="14"/>
  <c r="Z139" i="14"/>
  <c r="AI43" i="14"/>
  <c r="N29" i="14"/>
  <c r="AN302" i="14"/>
  <c r="X153" i="14"/>
  <c r="M198" i="14"/>
  <c r="AB48" i="14"/>
  <c r="M106" i="14"/>
  <c r="M126" i="14"/>
  <c r="AB112" i="14"/>
  <c r="Z31" i="14"/>
  <c r="X130" i="14"/>
  <c r="N273" i="14"/>
  <c r="AN98" i="14"/>
  <c r="AN173" i="14"/>
  <c r="Y241" i="14"/>
  <c r="AI321" i="14"/>
  <c r="Y332" i="14"/>
  <c r="AB299" i="14"/>
  <c r="AN206" i="14"/>
  <c r="M85" i="14"/>
  <c r="AI122" i="14"/>
  <c r="N327" i="14"/>
  <c r="Z269" i="14"/>
  <c r="Z173" i="14"/>
  <c r="M159" i="14"/>
  <c r="X173" i="14"/>
  <c r="AN332" i="14"/>
  <c r="AB353" i="14"/>
  <c r="X117" i="14"/>
  <c r="AB118" i="14"/>
  <c r="AI195" i="14"/>
  <c r="M236" i="14"/>
  <c r="M358" i="14"/>
  <c r="Y83" i="14"/>
  <c r="M347" i="14"/>
  <c r="AI32" i="14"/>
  <c r="Y36" i="14"/>
  <c r="Z68" i="14"/>
  <c r="Z107" i="14"/>
  <c r="AB322" i="14"/>
  <c r="AB242" i="14"/>
  <c r="M147" i="14"/>
  <c r="AB141" i="14"/>
  <c r="X239" i="14"/>
  <c r="W239" i="14" l="1"/>
  <c r="AA36" i="14"/>
  <c r="AA83" i="14"/>
  <c r="W117" i="14"/>
  <c r="W173" i="14"/>
  <c r="AA332" i="14"/>
  <c r="AA241" i="14"/>
  <c r="W130" i="14"/>
  <c r="W153" i="14"/>
  <c r="W319" i="14"/>
  <c r="W136" i="14"/>
  <c r="AA345" i="14"/>
  <c r="W88" i="14"/>
  <c r="W226" i="14"/>
  <c r="W63" i="14"/>
  <c r="AA254" i="14"/>
  <c r="W104" i="14"/>
  <c r="W202" i="14"/>
  <c r="AA196" i="14"/>
  <c r="AA191" i="14"/>
  <c r="W164" i="14"/>
  <c r="AA119" i="14"/>
  <c r="AA306" i="14"/>
  <c r="W346" i="14"/>
  <c r="AA235" i="14"/>
  <c r="AA181" i="14"/>
  <c r="W343" i="14"/>
  <c r="Q49" i="15"/>
  <c r="W125" i="14"/>
  <c r="AA224" i="14"/>
  <c r="W363" i="14"/>
  <c r="D18" i="9"/>
  <c r="W296" i="14"/>
  <c r="AA275" i="14"/>
  <c r="AA343" i="14"/>
  <c r="AA330" i="14"/>
  <c r="AA39" i="14"/>
  <c r="AA114" i="14"/>
  <c r="W338" i="14"/>
  <c r="T4" i="9"/>
  <c r="C38" i="11" s="1"/>
  <c r="AA326" i="14"/>
  <c r="W209" i="14"/>
  <c r="W69" i="14"/>
  <c r="AA247" i="14"/>
  <c r="AA72" i="14"/>
  <c r="W137" i="14"/>
  <c r="W315" i="14"/>
  <c r="AA236" i="14"/>
  <c r="AA237" i="14"/>
  <c r="W255" i="14"/>
  <c r="W76" i="14"/>
  <c r="W114" i="14"/>
  <c r="W286" i="14"/>
  <c r="W33" i="14"/>
  <c r="AA42" i="14"/>
  <c r="AA177" i="14"/>
  <c r="W316" i="14"/>
  <c r="AA115" i="14"/>
  <c r="AA172" i="14"/>
  <c r="AA111" i="14"/>
  <c r="W221" i="14"/>
  <c r="W368" i="14"/>
  <c r="AA57" i="14"/>
  <c r="W185" i="14"/>
  <c r="AA335" i="14"/>
  <c r="AA291" i="14"/>
  <c r="AA234" i="14"/>
  <c r="AA87" i="14"/>
  <c r="AA317" i="14"/>
  <c r="W312" i="14"/>
  <c r="W103" i="14"/>
  <c r="W362" i="14"/>
  <c r="W267" i="14"/>
  <c r="W126" i="14"/>
  <c r="W313" i="14"/>
  <c r="AA38" i="14"/>
  <c r="AA134" i="14"/>
  <c r="W293" i="14"/>
  <c r="AA356" i="14"/>
  <c r="AA298" i="14"/>
  <c r="AA304" i="14"/>
  <c r="W198" i="14"/>
  <c r="Q40" i="15"/>
  <c r="W352" i="14"/>
  <c r="Q43" i="15"/>
  <c r="AA270" i="14"/>
  <c r="W122" i="14"/>
  <c r="AA193" i="14"/>
  <c r="AA180" i="14"/>
  <c r="W74" i="14"/>
  <c r="AA253" i="14"/>
  <c r="W295" i="14"/>
  <c r="W36" i="14"/>
  <c r="AA250" i="14"/>
  <c r="AA41" i="14"/>
  <c r="AA128" i="14"/>
  <c r="W186" i="14"/>
  <c r="AA218" i="14"/>
  <c r="W321" i="14"/>
  <c r="W51" i="14"/>
  <c r="AA167" i="14"/>
  <c r="W211" i="14"/>
  <c r="W292" i="14"/>
  <c r="W115" i="14"/>
  <c r="AA271" i="14"/>
  <c r="W58" i="14"/>
  <c r="AA242" i="14"/>
  <c r="W143" i="14"/>
  <c r="AA264" i="14"/>
  <c r="W199" i="14"/>
  <c r="AA89" i="14"/>
  <c r="AA230" i="14"/>
  <c r="W192" i="14"/>
  <c r="W75" i="14"/>
  <c r="W305" i="14"/>
  <c r="E31" i="11"/>
  <c r="AA281" i="14"/>
  <c r="W236" i="14"/>
  <c r="AA302" i="14"/>
  <c r="AA310" i="14"/>
  <c r="W44" i="14"/>
  <c r="AA48" i="14"/>
  <c r="W234" i="14"/>
  <c r="W318" i="14"/>
  <c r="W101" i="14"/>
  <c r="AA176" i="14"/>
  <c r="W205" i="14"/>
  <c r="AA122" i="14"/>
  <c r="AA297" i="14"/>
  <c r="AA132" i="14"/>
  <c r="AA312" i="14"/>
  <c r="Q47" i="15"/>
  <c r="W289" i="14"/>
  <c r="W334" i="14"/>
  <c r="AA97" i="14"/>
  <c r="U4" i="9"/>
  <c r="D32" i="11" s="1"/>
  <c r="E32" i="11" s="1"/>
  <c r="W52" i="14"/>
  <c r="AA328" i="14"/>
  <c r="AA194" i="14"/>
  <c r="AA169" i="14"/>
  <c r="AA363" i="14"/>
  <c r="W231" i="14"/>
  <c r="W179" i="14"/>
  <c r="W253" i="14"/>
  <c r="W116" i="14"/>
  <c r="W45" i="14"/>
  <c r="W215" i="14"/>
  <c r="W81" i="14"/>
  <c r="AA208" i="14"/>
  <c r="AA316" i="14"/>
  <c r="W366" i="14"/>
  <c r="AA52" i="14"/>
  <c r="W120" i="14"/>
  <c r="W155" i="14"/>
  <c r="AA108" i="14"/>
  <c r="AA137" i="14"/>
  <c r="AA93" i="14"/>
  <c r="AA285" i="14"/>
  <c r="W251" i="14"/>
  <c r="AA70" i="14"/>
  <c r="AA117" i="14"/>
  <c r="AA173" i="14"/>
  <c r="W106" i="14"/>
  <c r="AA49" i="14"/>
  <c r="W351" i="14"/>
  <c r="W272" i="14"/>
  <c r="W235" i="14"/>
  <c r="W43" i="14"/>
  <c r="W37" i="14"/>
  <c r="AA158" i="14"/>
  <c r="AA146" i="14"/>
  <c r="AA44" i="14"/>
  <c r="AA152" i="14"/>
  <c r="W55" i="14"/>
  <c r="W46" i="14"/>
  <c r="AA315" i="14"/>
  <c r="AA290" i="14"/>
  <c r="W301" i="14"/>
  <c r="AA309" i="14"/>
  <c r="W112" i="14"/>
  <c r="AA344" i="14"/>
  <c r="W91" i="14"/>
  <c r="W350" i="14"/>
  <c r="AA165" i="14"/>
  <c r="W270" i="14"/>
  <c r="W89" i="14"/>
  <c r="AA352" i="14"/>
  <c r="AA259" i="14"/>
  <c r="AA187" i="14"/>
  <c r="W340" i="14"/>
  <c r="W194" i="14"/>
  <c r="W233" i="14"/>
  <c r="W287" i="14"/>
  <c r="W72" i="14"/>
  <c r="AA81" i="14"/>
  <c r="AA300" i="14"/>
  <c r="W229" i="14"/>
  <c r="W197" i="14"/>
  <c r="AA183" i="14"/>
  <c r="AA346" i="14"/>
  <c r="W189" i="14"/>
  <c r="W222" i="14"/>
  <c r="W265" i="14"/>
  <c r="AA303" i="14"/>
  <c r="AA262" i="14"/>
  <c r="AA245" i="14"/>
  <c r="W264" i="14"/>
  <c r="AA265" i="14"/>
  <c r="Q39" i="15"/>
  <c r="AA263" i="14"/>
  <c r="W232" i="14"/>
  <c r="AA58" i="14"/>
  <c r="AA171" i="14"/>
  <c r="W304" i="14"/>
  <c r="AA255" i="14"/>
  <c r="AA163" i="14"/>
  <c r="W47" i="14"/>
  <c r="W40" i="14"/>
  <c r="AA318" i="14"/>
  <c r="AA100" i="14"/>
  <c r="AA118" i="14"/>
  <c r="AA56" i="14"/>
  <c r="W42" i="14"/>
  <c r="AA116" i="14"/>
  <c r="AA256" i="14"/>
  <c r="W182" i="14"/>
  <c r="AA308" i="14"/>
  <c r="AA185" i="14"/>
  <c r="AA28" i="14"/>
  <c r="W242" i="14"/>
  <c r="W361" i="14"/>
  <c r="W278" i="14"/>
  <c r="W276" i="14"/>
  <c r="W274" i="14"/>
  <c r="W158" i="14"/>
  <c r="W341" i="14"/>
  <c r="Q44" i="15"/>
  <c r="W367" i="14"/>
  <c r="W257" i="14"/>
  <c r="W266" i="14"/>
  <c r="AA233" i="14"/>
  <c r="AA178" i="14"/>
  <c r="W224" i="14"/>
  <c r="AA321" i="14"/>
  <c r="AA190" i="14"/>
  <c r="W176" i="14"/>
  <c r="W128" i="14"/>
  <c r="AA348" i="14"/>
  <c r="AA145" i="14"/>
  <c r="AA220" i="14"/>
  <c r="AA150" i="14"/>
  <c r="W41" i="14"/>
  <c r="W160" i="14"/>
  <c r="AA91" i="14"/>
  <c r="AA189" i="14"/>
  <c r="AA77" i="14"/>
  <c r="W34" i="14"/>
  <c r="W98" i="14"/>
  <c r="AA135" i="14"/>
  <c r="AA102" i="14"/>
  <c r="AA209" i="14"/>
  <c r="W48" i="14"/>
  <c r="AA238" i="14"/>
  <c r="W281" i="14"/>
  <c r="W154" i="14"/>
  <c r="AA112" i="14"/>
  <c r="W308" i="14"/>
  <c r="AA142" i="14"/>
  <c r="AA243" i="14"/>
  <c r="AA76" i="14"/>
  <c r="AA86" i="14"/>
  <c r="W246" i="14"/>
  <c r="W354" i="14"/>
  <c r="AA94" i="14"/>
  <c r="W323" i="14"/>
  <c r="AA104" i="14"/>
  <c r="W111" i="14"/>
  <c r="W175" i="14"/>
  <c r="W163" i="14"/>
  <c r="W60" i="14"/>
  <c r="W162" i="14"/>
  <c r="W56" i="14"/>
  <c r="AA160" i="14"/>
  <c r="AA53" i="14"/>
  <c r="AA305" i="14"/>
  <c r="AA206" i="14"/>
  <c r="AA37" i="14"/>
  <c r="AA240" i="14"/>
  <c r="AA340" i="14"/>
  <c r="AA138" i="14"/>
  <c r="Q46" i="15"/>
  <c r="AA126" i="14"/>
  <c r="W326" i="14"/>
  <c r="W260" i="14"/>
  <c r="AA75" i="14"/>
  <c r="W336" i="14"/>
  <c r="AA80" i="14"/>
  <c r="AA225" i="14"/>
  <c r="W190" i="14"/>
  <c r="AA323" i="14"/>
  <c r="AA32" i="14"/>
  <c r="AA175" i="14"/>
  <c r="W50" i="14"/>
  <c r="W31" i="14"/>
  <c r="W100" i="14"/>
  <c r="W237" i="14"/>
  <c r="AA296" i="14"/>
  <c r="AA103" i="14"/>
  <c r="W322" i="14"/>
  <c r="W181" i="14"/>
  <c r="W269" i="14"/>
  <c r="W317" i="14"/>
  <c r="W219" i="14"/>
  <c r="W282" i="14"/>
  <c r="W90" i="14"/>
  <c r="W147" i="14"/>
  <c r="AA367" i="14"/>
  <c r="W57" i="14"/>
  <c r="W149" i="14"/>
  <c r="AA292" i="14"/>
  <c r="AA179" i="14"/>
  <c r="AA30" i="14"/>
  <c r="W157" i="14"/>
  <c r="AA324" i="14"/>
  <c r="W54" i="14"/>
  <c r="W188" i="14"/>
  <c r="AA174" i="14"/>
  <c r="W230" i="14"/>
  <c r="W139" i="14"/>
  <c r="AA246" i="14"/>
  <c r="AA336" i="14"/>
  <c r="AA273" i="14"/>
  <c r="AA284" i="14"/>
  <c r="AA159" i="14"/>
  <c r="AA287" i="14"/>
  <c r="Q42" i="15"/>
  <c r="W97" i="14"/>
  <c r="AA362" i="14"/>
  <c r="W314" i="14"/>
  <c r="AA62" i="14"/>
  <c r="AA120" i="14"/>
  <c r="W87" i="14"/>
  <c r="AA107" i="14"/>
  <c r="AA258" i="14"/>
  <c r="W71" i="14"/>
  <c r="W102" i="14"/>
  <c r="W159" i="14"/>
  <c r="W353" i="14"/>
  <c r="W348" i="14"/>
  <c r="W148" i="14"/>
  <c r="W140" i="14"/>
  <c r="D39" i="11"/>
  <c r="W28" i="14"/>
  <c r="W300" i="14"/>
  <c r="W223" i="14"/>
  <c r="AA144" i="14"/>
  <c r="W275" i="14"/>
  <c r="W95" i="14"/>
  <c r="W225" i="14"/>
  <c r="W349" i="14"/>
  <c r="W249" i="14"/>
  <c r="AA40" i="14"/>
  <c r="AA95" i="14"/>
  <c r="AA155" i="14"/>
  <c r="AA156" i="14"/>
  <c r="W32" i="14"/>
  <c r="AA331" i="14"/>
  <c r="W307" i="14"/>
  <c r="AA35" i="14"/>
  <c r="W356" i="14"/>
  <c r="AA286" i="14"/>
  <c r="AA282" i="14"/>
  <c r="AA99" i="14"/>
  <c r="AA333" i="14"/>
  <c r="AA311" i="14"/>
  <c r="D4" i="9"/>
  <c r="D14" i="11" s="1"/>
  <c r="E14" i="11" s="1"/>
  <c r="Q41" i="15"/>
  <c r="AA133" i="14"/>
  <c r="W330" i="14"/>
  <c r="W258" i="14"/>
  <c r="AA277" i="14"/>
  <c r="AA127" i="14"/>
  <c r="AA67" i="14"/>
  <c r="W360" i="14"/>
  <c r="AA46" i="14"/>
  <c r="AA84" i="14"/>
  <c r="AA109" i="14"/>
  <c r="AA366" i="14"/>
  <c r="W324" i="14"/>
  <c r="W327" i="14"/>
  <c r="W244" i="14"/>
  <c r="W285" i="14"/>
  <c r="D38" i="11"/>
  <c r="E38" i="11" s="1"/>
  <c r="Q4" i="9"/>
  <c r="W96" i="14"/>
  <c r="AA161" i="14"/>
  <c r="AA197" i="14"/>
  <c r="W62" i="14"/>
  <c r="AA131" i="14"/>
  <c r="AA170" i="14"/>
  <c r="AA269" i="14"/>
  <c r="W64" i="14"/>
  <c r="W133" i="14"/>
  <c r="W53" i="14"/>
  <c r="W49" i="14"/>
  <c r="AA210" i="14"/>
  <c r="W165" i="14"/>
  <c r="AA228" i="14"/>
  <c r="W207" i="14"/>
  <c r="AA110" i="14"/>
  <c r="AA106" i="14"/>
  <c r="W240" i="14"/>
  <c r="AA34" i="14"/>
  <c r="W144" i="14"/>
  <c r="D4" i="10"/>
  <c r="D15" i="11" s="1"/>
  <c r="E15" i="11" s="1"/>
  <c r="Q38" i="15"/>
  <c r="W291" i="14"/>
  <c r="W29" i="14"/>
  <c r="W337" i="14"/>
  <c r="AA60" i="14"/>
  <c r="AA249" i="14"/>
  <c r="W82" i="14"/>
  <c r="W238" i="14"/>
  <c r="AA74" i="14"/>
  <c r="AA61" i="14"/>
  <c r="AA73" i="14"/>
  <c r="W83" i="14"/>
  <c r="AA78" i="14"/>
  <c r="W99" i="14"/>
  <c r="W193" i="14"/>
  <c r="AA301" i="14"/>
  <c r="W358" i="14"/>
  <c r="AA90" i="14"/>
  <c r="AA364" i="14"/>
  <c r="AA293" i="14"/>
  <c r="W220" i="14"/>
  <c r="AA223" i="14"/>
  <c r="W166" i="14"/>
  <c r="W129" i="14"/>
  <c r="AA329" i="14"/>
  <c r="W191" i="14"/>
  <c r="AA325" i="14"/>
  <c r="AA63" i="14"/>
  <c r="W39" i="14"/>
  <c r="AA351" i="14"/>
  <c r="AA198" i="14"/>
  <c r="AA353" i="14"/>
  <c r="AA143" i="14"/>
  <c r="AA267" i="14"/>
  <c r="AA295" i="14"/>
  <c r="AA288" i="14"/>
  <c r="AA168" i="14"/>
  <c r="W241" i="14"/>
  <c r="AA369" i="14"/>
  <c r="W279" i="14"/>
  <c r="AA66" i="14"/>
  <c r="AA139" i="14"/>
  <c r="AA355" i="14"/>
  <c r="AA31" i="14"/>
  <c r="W156" i="14"/>
  <c r="W187" i="14"/>
  <c r="W151" i="14"/>
  <c r="AA216" i="14"/>
  <c r="W30" i="14"/>
  <c r="W131" i="14"/>
  <c r="AA283" i="14"/>
  <c r="AA294" i="14"/>
  <c r="W80" i="14"/>
  <c r="W259" i="14"/>
  <c r="W342" i="14"/>
  <c r="AA212" i="14"/>
  <c r="W84" i="14"/>
  <c r="AA322" i="14"/>
  <c r="AA257" i="14"/>
  <c r="W203" i="14"/>
  <c r="AA96" i="14"/>
  <c r="W123" i="14"/>
  <c r="W298" i="14"/>
  <c r="AA338" i="14"/>
  <c r="AA319" i="14"/>
  <c r="W333" i="14"/>
  <c r="AA334" i="14"/>
  <c r="W168" i="14"/>
  <c r="W178" i="14"/>
  <c r="W138" i="14"/>
  <c r="W344" i="14"/>
  <c r="AA244" i="14"/>
  <c r="AA339" i="14"/>
  <c r="AA365" i="14"/>
  <c r="W252" i="14"/>
  <c r="AA195" i="14"/>
  <c r="W256" i="14"/>
  <c r="W183" i="14"/>
  <c r="AA320" i="14"/>
  <c r="AA50" i="14"/>
  <c r="AA55" i="14"/>
  <c r="W132" i="14"/>
  <c r="W306" i="14"/>
  <c r="W261" i="14"/>
  <c r="AA231" i="14"/>
  <c r="AA314" i="14"/>
  <c r="W167" i="14"/>
  <c r="W347" i="14"/>
  <c r="W92" i="14"/>
  <c r="W345" i="14"/>
  <c r="AA147" i="14"/>
  <c r="W118" i="14"/>
  <c r="AA124" i="14"/>
  <c r="AA341" i="14"/>
  <c r="W119" i="14"/>
  <c r="W212" i="14"/>
  <c r="W170" i="14"/>
  <c r="W113" i="14"/>
  <c r="W369" i="14"/>
  <c r="AA227" i="14"/>
  <c r="W105" i="14"/>
  <c r="W359" i="14"/>
  <c r="W263" i="14"/>
  <c r="AA88" i="14"/>
  <c r="AA105" i="14"/>
  <c r="AA280" i="14"/>
  <c r="W250" i="14"/>
  <c r="AA64" i="14"/>
  <c r="W245" i="14"/>
  <c r="W146" i="14"/>
  <c r="W227" i="14"/>
  <c r="AA141" i="14"/>
  <c r="AA349" i="14"/>
  <c r="AA188" i="14"/>
  <c r="AA164" i="14"/>
  <c r="AA268" i="14"/>
  <c r="AA358" i="14"/>
  <c r="W35" i="14"/>
  <c r="AA79" i="14"/>
  <c r="W142" i="14"/>
  <c r="AA260" i="14"/>
  <c r="AA327" i="14"/>
  <c r="AA207" i="14"/>
  <c r="AA98" i="14"/>
  <c r="AA121" i="14"/>
  <c r="AA182" i="14"/>
  <c r="W290" i="14"/>
  <c r="W364" i="14"/>
  <c r="AA222" i="14"/>
  <c r="W61" i="14"/>
  <c r="W196" i="14"/>
  <c r="W328" i="14"/>
  <c r="AA130" i="14"/>
  <c r="AA184" i="14"/>
  <c r="W200" i="14"/>
  <c r="W201" i="14"/>
  <c r="AA59" i="14"/>
  <c r="W254" i="14"/>
  <c r="W93" i="14"/>
  <c r="W297" i="14"/>
  <c r="W299" i="14"/>
  <c r="R4" i="10"/>
  <c r="D33" i="11" s="1"/>
  <c r="E33" i="11" s="1"/>
  <c r="W206" i="14"/>
  <c r="AA266" i="14"/>
  <c r="AA47" i="14"/>
  <c r="W86" i="14"/>
  <c r="W213" i="14"/>
  <c r="AA272" i="14"/>
  <c r="W294" i="14"/>
  <c r="W107" i="14"/>
  <c r="W309" i="14"/>
  <c r="W135" i="14"/>
  <c r="AA65" i="14"/>
  <c r="W217" i="14"/>
  <c r="W67" i="14"/>
  <c r="AA361" i="14"/>
  <c r="AA186" i="14"/>
  <c r="AA129" i="14"/>
  <c r="AA200" i="14"/>
  <c r="W243" i="14"/>
  <c r="AA201" i="14"/>
  <c r="W180" i="14"/>
  <c r="W66" i="14"/>
  <c r="AA205" i="14"/>
  <c r="W109" i="14"/>
  <c r="W339" i="14"/>
  <c r="W331" i="14"/>
  <c r="AA347" i="14"/>
  <c r="W38" i="14"/>
  <c r="W284" i="14"/>
  <c r="W145" i="14"/>
  <c r="W195" i="14"/>
  <c r="AA252" i="14"/>
  <c r="W325" i="14"/>
  <c r="AA226" i="14"/>
  <c r="AA45" i="14"/>
  <c r="AA274" i="14"/>
  <c r="AA71" i="14"/>
  <c r="AA69" i="14"/>
  <c r="AA350" i="14"/>
  <c r="W73" i="14"/>
  <c r="AA337" i="14"/>
  <c r="W150" i="14"/>
  <c r="W303" i="14"/>
  <c r="AA368" i="14"/>
  <c r="AA43" i="14"/>
  <c r="AA278" i="14"/>
  <c r="Q4" i="10"/>
  <c r="C39" i="11" s="1"/>
  <c r="AA82" i="14"/>
  <c r="AA162" i="14"/>
  <c r="AA140" i="14"/>
  <c r="W329" i="14"/>
  <c r="W277" i="14"/>
  <c r="AA123" i="14"/>
  <c r="W171" i="14"/>
  <c r="W216" i="14"/>
  <c r="AA359" i="14"/>
  <c r="W280" i="14"/>
  <c r="W208" i="14"/>
  <c r="AA299" i="14"/>
  <c r="AA204" i="14"/>
  <c r="W184" i="14"/>
  <c r="W262" i="14"/>
  <c r="W77" i="14"/>
  <c r="W302" i="14"/>
  <c r="D11" i="9"/>
  <c r="AA125" i="14"/>
  <c r="AA148" i="14"/>
  <c r="AA213" i="14"/>
  <c r="W78" i="14"/>
  <c r="AA279" i="14"/>
  <c r="W169" i="14"/>
  <c r="AA307" i="14"/>
  <c r="AA248" i="14"/>
  <c r="W79" i="14"/>
  <c r="AA202" i="14"/>
  <c r="AA313" i="14"/>
  <c r="W288" i="14"/>
  <c r="W70" i="14"/>
  <c r="AA251" i="14"/>
  <c r="W134" i="14"/>
  <c r="W310" i="14"/>
  <c r="AA157" i="14"/>
  <c r="AA136" i="14"/>
  <c r="W174" i="14"/>
  <c r="AA219" i="14"/>
  <c r="W177" i="14"/>
  <c r="W355" i="14"/>
  <c r="W248" i="14"/>
  <c r="AA154" i="14"/>
  <c r="AA360" i="14"/>
  <c r="AA101" i="14"/>
  <c r="W271" i="14"/>
  <c r="AA92" i="14"/>
  <c r="W68" i="14"/>
  <c r="AA54" i="14"/>
  <c r="AA199" i="14"/>
  <c r="AA214" i="14"/>
  <c r="W268" i="14"/>
  <c r="W210" i="14"/>
  <c r="W228" i="14"/>
  <c r="AA229" i="14"/>
  <c r="W127" i="14"/>
  <c r="AA221" i="14"/>
  <c r="AA232" i="14"/>
  <c r="W320" i="14"/>
  <c r="AA203" i="14"/>
  <c r="AA217" i="14"/>
  <c r="W332" i="14"/>
  <c r="W311" i="14"/>
  <c r="Q48" i="15"/>
  <c r="AA289" i="14"/>
  <c r="W121" i="14"/>
  <c r="AA33" i="14"/>
  <c r="W124" i="14"/>
  <c r="W214" i="14"/>
  <c r="W273" i="14"/>
  <c r="AA192" i="14"/>
  <c r="AA149" i="14"/>
  <c r="AA276" i="14"/>
  <c r="AA151" i="14"/>
  <c r="W85" i="14"/>
  <c r="W247" i="14"/>
  <c r="W94" i="14"/>
  <c r="W335" i="14"/>
  <c r="W59" i="14"/>
  <c r="AA215" i="14"/>
  <c r="W141" i="14"/>
  <c r="W357" i="14"/>
  <c r="W65" i="14"/>
  <c r="AA113" i="14"/>
  <c r="AA85" i="14"/>
  <c r="AA68" i="14"/>
  <c r="AA342" i="14"/>
  <c r="Q45" i="15"/>
  <c r="W110" i="14"/>
  <c r="AA153" i="14"/>
  <c r="AA354" i="14"/>
  <c r="AA239" i="14"/>
  <c r="AA51" i="14"/>
  <c r="AA211" i="14"/>
  <c r="W161" i="14"/>
  <c r="AA29" i="14"/>
  <c r="W108" i="14"/>
  <c r="AA357" i="14"/>
  <c r="W218" i="14"/>
  <c r="W172" i="14"/>
  <c r="W204" i="14"/>
  <c r="W283" i="14"/>
  <c r="AA166" i="14"/>
  <c r="W365" i="14"/>
  <c r="W152" i="14"/>
  <c r="AA261" i="14"/>
  <c r="AO173" i="14"/>
  <c r="AO130" i="14"/>
  <c r="AO319" i="14"/>
  <c r="AO104" i="14"/>
  <c r="AO363" i="14"/>
  <c r="AO69" i="14"/>
  <c r="AO137" i="14"/>
  <c r="AO76" i="14"/>
  <c r="AO286" i="14"/>
  <c r="D37" i="11"/>
  <c r="AO186" i="14"/>
  <c r="AO211" i="14"/>
  <c r="AO115" i="14"/>
  <c r="AO234" i="14"/>
  <c r="AO101" i="14"/>
  <c r="AO334" i="14"/>
  <c r="AO179" i="14"/>
  <c r="AO116" i="14"/>
  <c r="AO215" i="14"/>
  <c r="AO251" i="14"/>
  <c r="AO351" i="14"/>
  <c r="AO46" i="14"/>
  <c r="AO350" i="14"/>
  <c r="AO270" i="14"/>
  <c r="AO278" i="14"/>
  <c r="AO274" i="14"/>
  <c r="AO98" i="14"/>
  <c r="AO281" i="14"/>
  <c r="AO323" i="14"/>
  <c r="AO31" i="14"/>
  <c r="AO149" i="14"/>
  <c r="AO157" i="14"/>
  <c r="AO54" i="14"/>
  <c r="AO97" i="14"/>
  <c r="AO353" i="14"/>
  <c r="AO28" i="14"/>
  <c r="AO300" i="14"/>
  <c r="D13" i="11"/>
  <c r="AO32" i="14"/>
  <c r="AO330" i="14"/>
  <c r="AO64" i="14"/>
  <c r="AO207" i="14"/>
  <c r="AO240" i="14"/>
  <c r="AO129" i="14"/>
  <c r="AO187" i="14"/>
  <c r="AO123" i="14"/>
  <c r="D34" i="11" s="1"/>
  <c r="E34" i="11" s="1"/>
  <c r="AO178" i="14"/>
  <c r="AO344" i="14"/>
  <c r="AO345" i="14"/>
  <c r="AO118" i="14"/>
  <c r="AO119" i="14"/>
  <c r="AO170" i="14"/>
  <c r="AO369" i="14"/>
  <c r="AO250" i="14"/>
  <c r="AO254" i="14"/>
  <c r="AO107" i="14"/>
  <c r="AO284" i="14"/>
  <c r="AO195" i="14"/>
  <c r="AO303" i="14"/>
  <c r="AO329" i="14"/>
  <c r="AO216" i="14"/>
  <c r="AO288" i="14"/>
  <c r="AO311" i="14"/>
  <c r="AO214" i="14"/>
  <c r="AO85" i="14"/>
  <c r="AO94" i="14"/>
  <c r="AO59" i="14"/>
  <c r="AO141" i="14"/>
  <c r="AO108" i="14"/>
  <c r="AO204" i="14"/>
  <c r="AO29" i="14"/>
  <c r="AO238" i="14"/>
  <c r="AO83" i="14"/>
  <c r="AO99" i="14"/>
  <c r="AO358" i="14"/>
  <c r="AO241" i="14"/>
  <c r="AO30" i="14"/>
  <c r="AO259" i="14"/>
  <c r="AO84" i="14"/>
  <c r="AO168" i="14"/>
  <c r="AO252" i="14"/>
  <c r="AO183" i="14"/>
  <c r="AO306" i="14"/>
  <c r="AO347" i="14"/>
  <c r="AO113" i="14"/>
  <c r="AO359" i="14"/>
  <c r="AO146" i="14"/>
  <c r="AO196" i="14"/>
  <c r="AO201" i="14"/>
  <c r="AO206" i="14"/>
  <c r="AO86" i="14"/>
  <c r="AO309" i="14"/>
  <c r="AO67" i="14"/>
  <c r="AO339" i="14"/>
  <c r="AO38" i="14"/>
  <c r="AO145" i="14"/>
  <c r="AO171" i="14"/>
  <c r="AO208" i="14"/>
  <c r="AO184" i="14"/>
  <c r="AO77" i="14"/>
  <c r="AO78" i="14"/>
  <c r="AO134" i="14"/>
  <c r="AO177" i="14"/>
  <c r="AO248" i="14"/>
  <c r="AO210" i="14"/>
  <c r="AO127" i="14"/>
  <c r="AO320" i="14"/>
  <c r="AO332" i="14"/>
  <c r="AO88" i="14"/>
  <c r="AO63" i="14"/>
  <c r="AO125" i="14"/>
  <c r="AO368" i="14"/>
  <c r="AO103" i="14"/>
  <c r="AO267" i="14"/>
  <c r="AO313" i="14"/>
  <c r="AO293" i="14"/>
  <c r="AO352" i="14"/>
  <c r="D28" i="11"/>
  <c r="AO295" i="14"/>
  <c r="AO51" i="14"/>
  <c r="AO143" i="14"/>
  <c r="AO199" i="14"/>
  <c r="AO192" i="14"/>
  <c r="AO305" i="14"/>
  <c r="AO236" i="14"/>
  <c r="AO44" i="14"/>
  <c r="AO289" i="14"/>
  <c r="AO120" i="14"/>
  <c r="AO235" i="14"/>
  <c r="AO37" i="14"/>
  <c r="AO301" i="14"/>
  <c r="AO89" i="14"/>
  <c r="AO194" i="14"/>
  <c r="AO287" i="14"/>
  <c r="AO197" i="14"/>
  <c r="AO189" i="14"/>
  <c r="AO265" i="14"/>
  <c r="AO264" i="14"/>
  <c r="AO40" i="14"/>
  <c r="AO361" i="14"/>
  <c r="AO276" i="14"/>
  <c r="AO257" i="14"/>
  <c r="AO128" i="14"/>
  <c r="AO160" i="14"/>
  <c r="AO48" i="14"/>
  <c r="AO308" i="14"/>
  <c r="AO354" i="14"/>
  <c r="AO175" i="14"/>
  <c r="AO60" i="14"/>
  <c r="AO56" i="14"/>
  <c r="AO326" i="14"/>
  <c r="AO190" i="14"/>
  <c r="AO237" i="14"/>
  <c r="AO322" i="14"/>
  <c r="AO269" i="14"/>
  <c r="AO219" i="14"/>
  <c r="AO90" i="14"/>
  <c r="AO57" i="14"/>
  <c r="AO230" i="14"/>
  <c r="AO102" i="14"/>
  <c r="AO148" i="14"/>
  <c r="AO275" i="14"/>
  <c r="AO324" i="14"/>
  <c r="AO244" i="14"/>
  <c r="AO165" i="14"/>
  <c r="AO161" i="14"/>
  <c r="AO172" i="14"/>
  <c r="AO283" i="14"/>
  <c r="AO365" i="14"/>
  <c r="AO159" i="14"/>
  <c r="AO348" i="14"/>
  <c r="AO223" i="14"/>
  <c r="AO225" i="14"/>
  <c r="AO249" i="14"/>
  <c r="AO356" i="14"/>
  <c r="AO258" i="14"/>
  <c r="AO285" i="14"/>
  <c r="AO96" i="14"/>
  <c r="AO133" i="14"/>
  <c r="AO49" i="14"/>
  <c r="AO193" i="14"/>
  <c r="AO166" i="14"/>
  <c r="AO191" i="14"/>
  <c r="AO156" i="14"/>
  <c r="AO151" i="14"/>
  <c r="AO203" i="14"/>
  <c r="AO333" i="14"/>
  <c r="AO138" i="14"/>
  <c r="AO212" i="14"/>
  <c r="AO105" i="14"/>
  <c r="AO263" i="14"/>
  <c r="AO142" i="14"/>
  <c r="AO290" i="14"/>
  <c r="AO61" i="14"/>
  <c r="AO328" i="14"/>
  <c r="AO93" i="14"/>
  <c r="AO299" i="14"/>
  <c r="AO294" i="14"/>
  <c r="AO180" i="14"/>
  <c r="AO331" i="14"/>
  <c r="AO73" i="14"/>
  <c r="AO150" i="14"/>
  <c r="AO239" i="14"/>
  <c r="AO117" i="14"/>
  <c r="AO153" i="14"/>
  <c r="AO136" i="14"/>
  <c r="AO202" i="14"/>
  <c r="AO164" i="14"/>
  <c r="AO346" i="14"/>
  <c r="AO343" i="14"/>
  <c r="AO338" i="14"/>
  <c r="AO209" i="14"/>
  <c r="AO315" i="14"/>
  <c r="AO255" i="14"/>
  <c r="AO114" i="14"/>
  <c r="AO33" i="14"/>
  <c r="AO316" i="14"/>
  <c r="AO221" i="14"/>
  <c r="AO198" i="14"/>
  <c r="AO122" i="14"/>
  <c r="AO74" i="14"/>
  <c r="AO292" i="14"/>
  <c r="AO58" i="14"/>
  <c r="AO318" i="14"/>
  <c r="AO231" i="14"/>
  <c r="AO253" i="14"/>
  <c r="AO45" i="14"/>
  <c r="AO81" i="14"/>
  <c r="AO366" i="14"/>
  <c r="AO106" i="14"/>
  <c r="AO233" i="14"/>
  <c r="AO304" i="14"/>
  <c r="AO158" i="14"/>
  <c r="AO34" i="14"/>
  <c r="AO154" i="14"/>
  <c r="AO246" i="14"/>
  <c r="AO260" i="14"/>
  <c r="AO336" i="14"/>
  <c r="AO188" i="14"/>
  <c r="AO226" i="14"/>
  <c r="AO296" i="14"/>
  <c r="AO185" i="14"/>
  <c r="AO312" i="14"/>
  <c r="AO362" i="14"/>
  <c r="AO126" i="14"/>
  <c r="AO36" i="14"/>
  <c r="AO321" i="14"/>
  <c r="AO75" i="14"/>
  <c r="AO205" i="14"/>
  <c r="AO52" i="14"/>
  <c r="AO155" i="14"/>
  <c r="AO272" i="14"/>
  <c r="AO43" i="14"/>
  <c r="AO55" i="14"/>
  <c r="AO112" i="14"/>
  <c r="AO91" i="14"/>
  <c r="AO340" i="14"/>
  <c r="AO72" i="14"/>
  <c r="AO229" i="14"/>
  <c r="AO222" i="14"/>
  <c r="AO232" i="14"/>
  <c r="AO47" i="14"/>
  <c r="AO42" i="14"/>
  <c r="AO182" i="14"/>
  <c r="AO242" i="14"/>
  <c r="AO341" i="14"/>
  <c r="AO367" i="14"/>
  <c r="AO266" i="14"/>
  <c r="AO224" i="14"/>
  <c r="AO176" i="14"/>
  <c r="AO41" i="14"/>
  <c r="AO111" i="14"/>
  <c r="AO163" i="14"/>
  <c r="AO162" i="14"/>
  <c r="AO50" i="14"/>
  <c r="AO100" i="14"/>
  <c r="AO181" i="14"/>
  <c r="AO317" i="14"/>
  <c r="AO282" i="14"/>
  <c r="AO147" i="14"/>
  <c r="AO139" i="14"/>
  <c r="AO314" i="14"/>
  <c r="AO87" i="14"/>
  <c r="AO71" i="14"/>
  <c r="AO140" i="14"/>
  <c r="AO95" i="14"/>
  <c r="AO349" i="14"/>
  <c r="AO307" i="14"/>
  <c r="AO360" i="14"/>
  <c r="AO327" i="14"/>
  <c r="AO62" i="14"/>
  <c r="AO53" i="14"/>
  <c r="AO144" i="14"/>
  <c r="AO291" i="14"/>
  <c r="AO337" i="14"/>
  <c r="AO82" i="14"/>
  <c r="AO220" i="14"/>
  <c r="AO39" i="14"/>
  <c r="AO279" i="14"/>
  <c r="AO131" i="14"/>
  <c r="AO80" i="14"/>
  <c r="AO342" i="14"/>
  <c r="AO298" i="14"/>
  <c r="AO256" i="14"/>
  <c r="AO132" i="14"/>
  <c r="AO261" i="14"/>
  <c r="AO167" i="14"/>
  <c r="AO92" i="14"/>
  <c r="AO245" i="14"/>
  <c r="AO227" i="14"/>
  <c r="AO35" i="14"/>
  <c r="AO364" i="14"/>
  <c r="AO200" i="14"/>
  <c r="AO297" i="14"/>
  <c r="AO213" i="14"/>
  <c r="AO135" i="14"/>
  <c r="AO217" i="14"/>
  <c r="AO243" i="14"/>
  <c r="AO66" i="14"/>
  <c r="AO109" i="14"/>
  <c r="AO325" i="14"/>
  <c r="AO277" i="14"/>
  <c r="AO262" i="14"/>
  <c r="AO302" i="14"/>
  <c r="AO169" i="14"/>
  <c r="AO79" i="14"/>
  <c r="AO310" i="14"/>
  <c r="AO174" i="14"/>
  <c r="AO355" i="14"/>
  <c r="AO271" i="14"/>
  <c r="AO268" i="14"/>
  <c r="AO228" i="14"/>
  <c r="AO121" i="14"/>
  <c r="AO124" i="14"/>
  <c r="AO247" i="14"/>
  <c r="AO335" i="14"/>
  <c r="AO65" i="14"/>
  <c r="AO110" i="14"/>
  <c r="AO218" i="14"/>
  <c r="AO357" i="14"/>
  <c r="AO70" i="14"/>
  <c r="AO280" i="14"/>
  <c r="AO68" i="14"/>
  <c r="AO273" i="14"/>
  <c r="AO152" i="14"/>
  <c r="V4" i="9" l="1"/>
  <c r="D35" i="11" s="1"/>
  <c r="E35" i="11" s="1"/>
  <c r="E28" i="11"/>
  <c r="E13" i="11"/>
  <c r="S4" i="10"/>
  <c r="D36" i="11" s="1"/>
  <c r="E36" i="11" s="1"/>
  <c r="E37" i="11"/>
  <c r="R357" i="14"/>
  <c r="Q357" i="14"/>
  <c r="P357" i="14"/>
  <c r="P276" i="14"/>
  <c r="Q276" i="14"/>
  <c r="R276" i="14"/>
  <c r="Q279" i="14"/>
  <c r="R279" i="14"/>
  <c r="P279" i="14"/>
  <c r="Q239" i="14"/>
  <c r="R239" i="14"/>
  <c r="P239" i="14"/>
  <c r="R215" i="14"/>
  <c r="Q215" i="14"/>
  <c r="P215" i="14"/>
  <c r="P289" i="14"/>
  <c r="Q289" i="14"/>
  <c r="R289" i="14"/>
  <c r="P248" i="14"/>
  <c r="Q248" i="14"/>
  <c r="R248" i="14"/>
  <c r="P85" i="14"/>
  <c r="R85" i="14"/>
  <c r="Q85" i="14"/>
  <c r="P313" i="14"/>
  <c r="Q313" i="14"/>
  <c r="O313" i="14" s="1"/>
  <c r="R313" i="14"/>
  <c r="R162" i="14"/>
  <c r="Q162" i="14"/>
  <c r="P162" i="14"/>
  <c r="O162" i="14" s="1"/>
  <c r="P148" i="14"/>
  <c r="R148" i="14"/>
  <c r="Q148" i="14"/>
  <c r="R299" i="14"/>
  <c r="P299" i="14"/>
  <c r="Q299" i="14"/>
  <c r="U45" i="15"/>
  <c r="X45" i="15" s="1"/>
  <c r="Z45" i="15"/>
  <c r="Q113" i="14"/>
  <c r="R113" i="14"/>
  <c r="P113" i="14"/>
  <c r="Q149" i="14"/>
  <c r="P149" i="14"/>
  <c r="R149" i="14"/>
  <c r="P33" i="14"/>
  <c r="Q33" i="14"/>
  <c r="R33" i="14"/>
  <c r="Q166" i="14"/>
  <c r="R166" i="14"/>
  <c r="P166" i="14"/>
  <c r="P29" i="14"/>
  <c r="Q29" i="14"/>
  <c r="R29" i="14"/>
  <c r="Q51" i="14"/>
  <c r="P51" i="14"/>
  <c r="R51" i="14"/>
  <c r="R68" i="14"/>
  <c r="Q68" i="14"/>
  <c r="P68" i="14"/>
  <c r="P151" i="14"/>
  <c r="Q151" i="14"/>
  <c r="R151" i="14"/>
  <c r="R203" i="14"/>
  <c r="Q203" i="14"/>
  <c r="P203" i="14"/>
  <c r="P221" i="14"/>
  <c r="R221" i="14"/>
  <c r="Q221" i="14"/>
  <c r="R54" i="14"/>
  <c r="Q54" i="14"/>
  <c r="P54" i="14"/>
  <c r="R154" i="14"/>
  <c r="P154" i="14"/>
  <c r="Q154" i="14"/>
  <c r="P251" i="14"/>
  <c r="Q251" i="14"/>
  <c r="R251" i="14"/>
  <c r="R213" i="14"/>
  <c r="P213" i="14"/>
  <c r="Q213" i="14"/>
  <c r="P204" i="14"/>
  <c r="R204" i="14"/>
  <c r="Q204" i="14"/>
  <c r="R140" i="14"/>
  <c r="Q140" i="14"/>
  <c r="P140" i="14"/>
  <c r="O140" i="14" s="1"/>
  <c r="R278" i="14"/>
  <c r="P278" i="14"/>
  <c r="Q278" i="14"/>
  <c r="R71" i="14"/>
  <c r="P71" i="14"/>
  <c r="Q71" i="14"/>
  <c r="P186" i="14"/>
  <c r="Q186" i="14"/>
  <c r="R186" i="14"/>
  <c r="Q47" i="14"/>
  <c r="P47" i="14"/>
  <c r="R47" i="14"/>
  <c r="R121" i="14"/>
  <c r="P121" i="14"/>
  <c r="Q121" i="14"/>
  <c r="R260" i="14"/>
  <c r="P260" i="14"/>
  <c r="Q260" i="14"/>
  <c r="R164" i="14"/>
  <c r="P164" i="14"/>
  <c r="Q164" i="14"/>
  <c r="Q320" i="14"/>
  <c r="R320" i="14"/>
  <c r="P320" i="14"/>
  <c r="Q365" i="14"/>
  <c r="R365" i="14"/>
  <c r="P365" i="14"/>
  <c r="P96" i="14"/>
  <c r="R96" i="14"/>
  <c r="Q96" i="14"/>
  <c r="F4" i="9"/>
  <c r="R322" i="14"/>
  <c r="Q322" i="14"/>
  <c r="P322" i="14"/>
  <c r="R216" i="14"/>
  <c r="P216" i="14"/>
  <c r="Q216" i="14"/>
  <c r="R355" i="14"/>
  <c r="Q355" i="14"/>
  <c r="P355" i="14"/>
  <c r="R168" i="14"/>
  <c r="Q168" i="14"/>
  <c r="P168" i="14"/>
  <c r="P143" i="14"/>
  <c r="R143" i="14"/>
  <c r="Q143" i="14"/>
  <c r="R90" i="14"/>
  <c r="Q90" i="14"/>
  <c r="P90" i="14"/>
  <c r="R78" i="14"/>
  <c r="P78" i="14"/>
  <c r="Q78" i="14"/>
  <c r="P61" i="14"/>
  <c r="Q61" i="14"/>
  <c r="R61" i="14"/>
  <c r="R210" i="14"/>
  <c r="Q210" i="14"/>
  <c r="P210" i="14"/>
  <c r="Q366" i="14"/>
  <c r="P366" i="14"/>
  <c r="R366" i="14"/>
  <c r="R277" i="14"/>
  <c r="Q277" i="14"/>
  <c r="P277" i="14"/>
  <c r="Q311" i="14"/>
  <c r="R311" i="14"/>
  <c r="P311" i="14"/>
  <c r="P286" i="14"/>
  <c r="Q286" i="14"/>
  <c r="R286" i="14"/>
  <c r="P40" i="14"/>
  <c r="Q40" i="14"/>
  <c r="R40" i="14"/>
  <c r="R144" i="14"/>
  <c r="Q144" i="14"/>
  <c r="P144" i="14"/>
  <c r="R284" i="14"/>
  <c r="Q284" i="14"/>
  <c r="P284" i="14"/>
  <c r="R174" i="14"/>
  <c r="P174" i="14"/>
  <c r="Q174" i="14"/>
  <c r="P30" i="14"/>
  <c r="R30" i="14"/>
  <c r="Q30" i="14"/>
  <c r="R103" i="14"/>
  <c r="P103" i="14"/>
  <c r="Q103" i="14"/>
  <c r="P323" i="14"/>
  <c r="Q323" i="14"/>
  <c r="R323" i="14"/>
  <c r="R80" i="14"/>
  <c r="Q80" i="14"/>
  <c r="P80" i="14"/>
  <c r="P126" i="14"/>
  <c r="Q126" i="14"/>
  <c r="R126" i="14"/>
  <c r="P240" i="14"/>
  <c r="Q240" i="14"/>
  <c r="R240" i="14"/>
  <c r="Q53" i="14"/>
  <c r="R53" i="14"/>
  <c r="P53" i="14"/>
  <c r="Q243" i="14"/>
  <c r="R243" i="14"/>
  <c r="P243" i="14"/>
  <c r="R112" i="14"/>
  <c r="Q112" i="14"/>
  <c r="P112" i="14"/>
  <c r="Q209" i="14"/>
  <c r="R209" i="14"/>
  <c r="P209" i="14"/>
  <c r="P189" i="14"/>
  <c r="Q189" i="14"/>
  <c r="R189" i="14"/>
  <c r="P145" i="14"/>
  <c r="R145" i="14"/>
  <c r="Q145" i="14"/>
  <c r="P100" i="14"/>
  <c r="Q100" i="14"/>
  <c r="R100" i="14"/>
  <c r="P265" i="14"/>
  <c r="Q265" i="14"/>
  <c r="R265" i="14"/>
  <c r="Q262" i="14"/>
  <c r="R262" i="14"/>
  <c r="P262" i="14"/>
  <c r="Q346" i="14"/>
  <c r="R346" i="14"/>
  <c r="P346" i="14"/>
  <c r="P352" i="14"/>
  <c r="Q352" i="14"/>
  <c r="R352" i="14"/>
  <c r="R290" i="14"/>
  <c r="Q290" i="14"/>
  <c r="P290" i="14"/>
  <c r="Q146" i="14"/>
  <c r="R146" i="14"/>
  <c r="P146" i="14"/>
  <c r="Q49" i="14"/>
  <c r="P49" i="14"/>
  <c r="R49" i="14"/>
  <c r="R117" i="14"/>
  <c r="Q117" i="14"/>
  <c r="P117" i="14"/>
  <c r="R285" i="14"/>
  <c r="Q285" i="14"/>
  <c r="P285" i="14"/>
  <c r="O285" i="14" s="1"/>
  <c r="R52" i="14"/>
  <c r="P52" i="14"/>
  <c r="Q52" i="14"/>
  <c r="Q208" i="14"/>
  <c r="P208" i="14"/>
  <c r="R208" i="14"/>
  <c r="P169" i="14"/>
  <c r="Q169" i="14"/>
  <c r="R169" i="14"/>
  <c r="P312" i="14"/>
  <c r="Q312" i="14"/>
  <c r="R312" i="14"/>
  <c r="Q310" i="14"/>
  <c r="P310" i="14"/>
  <c r="R310" i="14"/>
  <c r="R281" i="14"/>
  <c r="Q281" i="14"/>
  <c r="P281" i="14"/>
  <c r="P230" i="14"/>
  <c r="R230" i="14"/>
  <c r="Q230" i="14"/>
  <c r="P264" i="14"/>
  <c r="Q264" i="14"/>
  <c r="R264" i="14"/>
  <c r="P253" i="14"/>
  <c r="Q253" i="14"/>
  <c r="R253" i="14"/>
  <c r="Q193" i="14"/>
  <c r="P193" i="14"/>
  <c r="R193" i="14"/>
  <c r="R270" i="14"/>
  <c r="P270" i="14"/>
  <c r="Q270" i="14"/>
  <c r="Z40" i="15"/>
  <c r="U40" i="15"/>
  <c r="X40" i="15" s="1"/>
  <c r="R298" i="14"/>
  <c r="P298" i="14"/>
  <c r="Q298" i="14"/>
  <c r="P134" i="14"/>
  <c r="R134" i="14"/>
  <c r="Q134" i="14"/>
  <c r="P234" i="14"/>
  <c r="Q234" i="14"/>
  <c r="R234" i="14"/>
  <c r="Q115" i="14"/>
  <c r="P115" i="14"/>
  <c r="R115" i="14"/>
  <c r="P42" i="14"/>
  <c r="Q42" i="14"/>
  <c r="R42" i="14"/>
  <c r="R236" i="14"/>
  <c r="P236" i="14"/>
  <c r="Q236" i="14"/>
  <c r="R39" i="14"/>
  <c r="P39" i="14"/>
  <c r="Q39" i="14"/>
  <c r="Z49" i="15"/>
  <c r="U49" i="15"/>
  <c r="X49" i="15" s="1"/>
  <c r="Q235" i="14"/>
  <c r="R235" i="14"/>
  <c r="P235" i="14"/>
  <c r="R119" i="14"/>
  <c r="P119" i="14"/>
  <c r="Q119" i="14"/>
  <c r="R196" i="14"/>
  <c r="Q196" i="14"/>
  <c r="P196" i="14"/>
  <c r="P345" i="14"/>
  <c r="Q345" i="14"/>
  <c r="R345" i="14"/>
  <c r="Q36" i="14"/>
  <c r="R36" i="14"/>
  <c r="P36" i="14"/>
  <c r="U42" i="15"/>
  <c r="X42" i="15" s="1"/>
  <c r="Z42" i="15"/>
  <c r="Q273" i="14"/>
  <c r="P273" i="14"/>
  <c r="R273" i="14"/>
  <c r="R324" i="14"/>
  <c r="Q324" i="14"/>
  <c r="P324" i="14"/>
  <c r="P179" i="14"/>
  <c r="R179" i="14"/>
  <c r="Q179" i="14"/>
  <c r="R296" i="14"/>
  <c r="Q296" i="14"/>
  <c r="P296" i="14"/>
  <c r="U46" i="15"/>
  <c r="X46" i="15" s="1"/>
  <c r="Z46" i="15"/>
  <c r="R37" i="14"/>
  <c r="P37" i="14"/>
  <c r="Q37" i="14"/>
  <c r="Q160" i="14"/>
  <c r="P160" i="14"/>
  <c r="R160" i="14"/>
  <c r="P94" i="14"/>
  <c r="Q94" i="14"/>
  <c r="R94" i="14"/>
  <c r="P142" i="14"/>
  <c r="R142" i="14"/>
  <c r="Q142" i="14"/>
  <c r="Q238" i="14"/>
  <c r="R238" i="14"/>
  <c r="P238" i="14"/>
  <c r="R102" i="14"/>
  <c r="P102" i="14"/>
  <c r="Q102" i="14"/>
  <c r="P91" i="14"/>
  <c r="R91" i="14"/>
  <c r="Q91" i="14"/>
  <c r="Q348" i="14"/>
  <c r="R348" i="14"/>
  <c r="P348" i="14"/>
  <c r="Q28" i="14"/>
  <c r="P28" i="14"/>
  <c r="F4" i="10"/>
  <c r="R28" i="14"/>
  <c r="R318" i="14"/>
  <c r="P318" i="14"/>
  <c r="Q318" i="14"/>
  <c r="R303" i="14"/>
  <c r="Q303" i="14"/>
  <c r="P303" i="14"/>
  <c r="R183" i="14"/>
  <c r="Q183" i="14"/>
  <c r="P183" i="14"/>
  <c r="P165" i="14"/>
  <c r="Q165" i="14"/>
  <c r="R165" i="14"/>
  <c r="Q309" i="14"/>
  <c r="R309" i="14"/>
  <c r="P309" i="14"/>
  <c r="R315" i="14"/>
  <c r="Q315" i="14"/>
  <c r="P315" i="14"/>
  <c r="R158" i="14"/>
  <c r="P158" i="14"/>
  <c r="Q158" i="14"/>
  <c r="Q70" i="14"/>
  <c r="R70" i="14"/>
  <c r="P70" i="14"/>
  <c r="F18" i="9"/>
  <c r="H18" i="9" s="1"/>
  <c r="Q93" i="14"/>
  <c r="P93" i="14"/>
  <c r="R93" i="14"/>
  <c r="R194" i="14"/>
  <c r="P194" i="14"/>
  <c r="Q194" i="14"/>
  <c r="R132" i="14"/>
  <c r="Q132" i="14"/>
  <c r="P132" i="14"/>
  <c r="Q48" i="14"/>
  <c r="R48" i="14"/>
  <c r="P48" i="14"/>
  <c r="R302" i="14"/>
  <c r="P302" i="14"/>
  <c r="Q302" i="14"/>
  <c r="P89" i="14"/>
  <c r="R89" i="14"/>
  <c r="Q89" i="14"/>
  <c r="P167" i="14"/>
  <c r="Q167" i="14"/>
  <c r="R167" i="14"/>
  <c r="Q128" i="14"/>
  <c r="P128" i="14"/>
  <c r="R128" i="14"/>
  <c r="Z43" i="15"/>
  <c r="U43" i="15"/>
  <c r="X43" i="15" s="1"/>
  <c r="Q356" i="14"/>
  <c r="R356" i="14"/>
  <c r="P356" i="14"/>
  <c r="P38" i="14"/>
  <c r="Q38" i="14"/>
  <c r="R38" i="14"/>
  <c r="Q291" i="14"/>
  <c r="P291" i="14"/>
  <c r="O291" i="14" s="1"/>
  <c r="R291" i="14"/>
  <c r="P57" i="14"/>
  <c r="Q57" i="14"/>
  <c r="R57" i="14"/>
  <c r="Q72" i="14"/>
  <c r="R72" i="14"/>
  <c r="P72" i="14"/>
  <c r="P330" i="14"/>
  <c r="Q330" i="14"/>
  <c r="R330" i="14"/>
  <c r="R224" i="14"/>
  <c r="Q224" i="14"/>
  <c r="P224" i="14"/>
  <c r="R254" i="14"/>
  <c r="P254" i="14"/>
  <c r="Q254" i="14"/>
  <c r="P241" i="14"/>
  <c r="Q241" i="14"/>
  <c r="R241" i="14"/>
  <c r="Q43" i="14"/>
  <c r="R43" i="14"/>
  <c r="P43" i="14"/>
  <c r="P274" i="14"/>
  <c r="R274" i="14"/>
  <c r="Q274" i="14"/>
  <c r="Q361" i="14"/>
  <c r="R361" i="14"/>
  <c r="P361" i="14"/>
  <c r="Q266" i="14"/>
  <c r="R266" i="14"/>
  <c r="P266" i="14"/>
  <c r="Q59" i="14"/>
  <c r="R59" i="14"/>
  <c r="P59" i="14"/>
  <c r="Q98" i="14"/>
  <c r="P98" i="14"/>
  <c r="O98" i="14" s="1"/>
  <c r="R98" i="14"/>
  <c r="Q188" i="14"/>
  <c r="R188" i="14"/>
  <c r="P188" i="14"/>
  <c r="R280" i="14"/>
  <c r="Q280" i="14"/>
  <c r="P280" i="14"/>
  <c r="Q341" i="14"/>
  <c r="P341" i="14"/>
  <c r="R341" i="14"/>
  <c r="Q147" i="14"/>
  <c r="R147" i="14"/>
  <c r="P147" i="14"/>
  <c r="R195" i="14"/>
  <c r="Q195" i="14"/>
  <c r="P195" i="14"/>
  <c r="O195" i="14" s="1"/>
  <c r="R339" i="14"/>
  <c r="P339" i="14"/>
  <c r="Q339" i="14"/>
  <c r="R139" i="14"/>
  <c r="Q139" i="14"/>
  <c r="P139" i="14"/>
  <c r="Q369" i="14"/>
  <c r="R369" i="14"/>
  <c r="P369" i="14"/>
  <c r="Q288" i="14"/>
  <c r="R288" i="14"/>
  <c r="P288" i="14"/>
  <c r="Q353" i="14"/>
  <c r="P353" i="14"/>
  <c r="R353" i="14"/>
  <c r="R74" i="14"/>
  <c r="Q74" i="14"/>
  <c r="P74" i="14"/>
  <c r="Q106" i="14"/>
  <c r="P106" i="14"/>
  <c r="O106" i="14" s="1"/>
  <c r="R106" i="14"/>
  <c r="P228" i="14"/>
  <c r="Q228" i="14"/>
  <c r="R228" i="14"/>
  <c r="Q269" i="14"/>
  <c r="P269" i="14"/>
  <c r="R269" i="14"/>
  <c r="P109" i="14"/>
  <c r="Q109" i="14"/>
  <c r="R109" i="14"/>
  <c r="P133" i="14"/>
  <c r="Q133" i="14"/>
  <c r="R133" i="14"/>
  <c r="P333" i="14"/>
  <c r="R333" i="14"/>
  <c r="Q333" i="14"/>
  <c r="P156" i="14"/>
  <c r="R156" i="14"/>
  <c r="Q156" i="14"/>
  <c r="P354" i="14"/>
  <c r="Q354" i="14"/>
  <c r="R354" i="14"/>
  <c r="Z38" i="15"/>
  <c r="U38" i="15"/>
  <c r="R34" i="14"/>
  <c r="P34" i="14"/>
  <c r="Q34" i="14"/>
  <c r="P110" i="14"/>
  <c r="R110" i="14"/>
  <c r="Q110" i="14"/>
  <c r="R170" i="14"/>
  <c r="Q170" i="14"/>
  <c r="P170" i="14"/>
  <c r="Q197" i="14"/>
  <c r="R197" i="14"/>
  <c r="P197" i="14"/>
  <c r="P84" i="14"/>
  <c r="Q84" i="14"/>
  <c r="R84" i="14"/>
  <c r="P67" i="14"/>
  <c r="R67" i="14"/>
  <c r="Q67" i="14"/>
  <c r="U41" i="15"/>
  <c r="Z41" i="15"/>
  <c r="Q99" i="14"/>
  <c r="P99" i="14"/>
  <c r="R99" i="14"/>
  <c r="R331" i="14"/>
  <c r="P331" i="14"/>
  <c r="Q331" i="14"/>
  <c r="R155" i="14"/>
  <c r="Q155" i="14"/>
  <c r="P155" i="14"/>
  <c r="E39" i="11"/>
  <c r="R258" i="14"/>
  <c r="P258" i="14"/>
  <c r="Q258" i="14"/>
  <c r="P120" i="14"/>
  <c r="Q120" i="14"/>
  <c r="R120" i="14"/>
  <c r="Q362" i="14"/>
  <c r="P362" i="14"/>
  <c r="R362" i="14"/>
  <c r="Q287" i="14"/>
  <c r="R287" i="14"/>
  <c r="P287" i="14"/>
  <c r="P336" i="14"/>
  <c r="R336" i="14"/>
  <c r="Q336" i="14"/>
  <c r="R292" i="14"/>
  <c r="P292" i="14"/>
  <c r="Q292" i="14"/>
  <c r="R175" i="14"/>
  <c r="Q175" i="14"/>
  <c r="P175" i="14"/>
  <c r="Q138" i="14"/>
  <c r="R138" i="14"/>
  <c r="P138" i="14"/>
  <c r="P206" i="14"/>
  <c r="R206" i="14"/>
  <c r="Q206" i="14"/>
  <c r="Q104" i="14"/>
  <c r="R104" i="14"/>
  <c r="P104" i="14"/>
  <c r="R86" i="14"/>
  <c r="P86" i="14"/>
  <c r="Q86" i="14"/>
  <c r="P135" i="14"/>
  <c r="R135" i="14"/>
  <c r="Q135" i="14"/>
  <c r="P150" i="14"/>
  <c r="Q150" i="14"/>
  <c r="R150" i="14"/>
  <c r="Q190" i="14"/>
  <c r="R190" i="14"/>
  <c r="P190" i="14"/>
  <c r="R178" i="14"/>
  <c r="P178" i="14"/>
  <c r="O178" i="14" s="1"/>
  <c r="Q178" i="14"/>
  <c r="U44" i="15"/>
  <c r="X44" i="15" s="1"/>
  <c r="Z44" i="15"/>
  <c r="R185" i="14"/>
  <c r="Q185" i="14"/>
  <c r="P185" i="14"/>
  <c r="O185" i="14" s="1"/>
  <c r="P256" i="14"/>
  <c r="Q256" i="14"/>
  <c r="R256" i="14"/>
  <c r="R56" i="14"/>
  <c r="P56" i="14"/>
  <c r="Q56" i="14"/>
  <c r="Q163" i="14"/>
  <c r="R163" i="14"/>
  <c r="P163" i="14"/>
  <c r="P171" i="14"/>
  <c r="Q171" i="14"/>
  <c r="R171" i="14"/>
  <c r="R263" i="14"/>
  <c r="P263" i="14"/>
  <c r="Q263" i="14"/>
  <c r="Q300" i="14"/>
  <c r="R300" i="14"/>
  <c r="P300" i="14"/>
  <c r="R187" i="14"/>
  <c r="Q187" i="14"/>
  <c r="P187" i="14"/>
  <c r="P344" i="14"/>
  <c r="R344" i="14"/>
  <c r="Q344" i="14"/>
  <c r="P152" i="14"/>
  <c r="R152" i="14"/>
  <c r="Q152" i="14"/>
  <c r="R137" i="14"/>
  <c r="Q137" i="14"/>
  <c r="P137" i="14"/>
  <c r="P328" i="14"/>
  <c r="Q328" i="14"/>
  <c r="R328" i="14"/>
  <c r="R97" i="14"/>
  <c r="Q97" i="14"/>
  <c r="P97" i="14"/>
  <c r="O97" i="14" s="1"/>
  <c r="R297" i="14"/>
  <c r="Q297" i="14"/>
  <c r="P297" i="14"/>
  <c r="R176" i="14"/>
  <c r="P176" i="14"/>
  <c r="Q176" i="14"/>
  <c r="R271" i="14"/>
  <c r="P271" i="14"/>
  <c r="Q271" i="14"/>
  <c r="P218" i="14"/>
  <c r="R218" i="14"/>
  <c r="Q218" i="14"/>
  <c r="R41" i="14"/>
  <c r="Q41" i="14"/>
  <c r="P41" i="14"/>
  <c r="R317" i="14"/>
  <c r="Q317" i="14"/>
  <c r="P317" i="14"/>
  <c r="Q335" i="14"/>
  <c r="P335" i="14"/>
  <c r="O335" i="14" s="1"/>
  <c r="R335" i="14"/>
  <c r="R111" i="14"/>
  <c r="Q111" i="14"/>
  <c r="P111" i="14"/>
  <c r="O111" i="14" s="1"/>
  <c r="Q247" i="14"/>
  <c r="R247" i="14"/>
  <c r="P247" i="14"/>
  <c r="R343" i="14"/>
  <c r="P343" i="14"/>
  <c r="Q343" i="14"/>
  <c r="Q332" i="14"/>
  <c r="P332" i="14"/>
  <c r="O332" i="14" s="1"/>
  <c r="R332" i="14"/>
  <c r="Z48" i="15"/>
  <c r="U48" i="15"/>
  <c r="X48" i="15" s="1"/>
  <c r="P214" i="14"/>
  <c r="Q214" i="14"/>
  <c r="R214" i="14"/>
  <c r="Q101" i="14"/>
  <c r="P101" i="14"/>
  <c r="O101" i="14" s="1"/>
  <c r="R101" i="14"/>
  <c r="P136" i="14"/>
  <c r="R136" i="14"/>
  <c r="Q136" i="14"/>
  <c r="R202" i="14"/>
  <c r="P202" i="14"/>
  <c r="Q202" i="14"/>
  <c r="R307" i="14"/>
  <c r="Q307" i="14"/>
  <c r="P307" i="14"/>
  <c r="Q125" i="14"/>
  <c r="P125" i="14"/>
  <c r="R125" i="14"/>
  <c r="Q359" i="14"/>
  <c r="P359" i="14"/>
  <c r="R359" i="14"/>
  <c r="Q82" i="14"/>
  <c r="R82" i="14"/>
  <c r="P82" i="14"/>
  <c r="R368" i="14"/>
  <c r="P368" i="14"/>
  <c r="Q368" i="14"/>
  <c r="Q350" i="14"/>
  <c r="P350" i="14"/>
  <c r="R350" i="14"/>
  <c r="R45" i="14"/>
  <c r="P45" i="14"/>
  <c r="Q45" i="14"/>
  <c r="R252" i="14"/>
  <c r="Q252" i="14"/>
  <c r="P252" i="14"/>
  <c r="P205" i="14"/>
  <c r="Q205" i="14"/>
  <c r="R205" i="14"/>
  <c r="Q200" i="14"/>
  <c r="R200" i="14"/>
  <c r="P200" i="14"/>
  <c r="R65" i="14"/>
  <c r="P65" i="14"/>
  <c r="Q65" i="14"/>
  <c r="R184" i="14"/>
  <c r="Q184" i="14"/>
  <c r="P184" i="14"/>
  <c r="R222" i="14"/>
  <c r="P222" i="14"/>
  <c r="Q222" i="14"/>
  <c r="Q207" i="14"/>
  <c r="R207" i="14"/>
  <c r="P207" i="14"/>
  <c r="P358" i="14"/>
  <c r="Q358" i="14"/>
  <c r="R358" i="14"/>
  <c r="Q349" i="14"/>
  <c r="P349" i="14"/>
  <c r="R349" i="14"/>
  <c r="R64" i="14"/>
  <c r="P64" i="14"/>
  <c r="Q64" i="14"/>
  <c r="R105" i="14"/>
  <c r="P105" i="14"/>
  <c r="Q105" i="14"/>
  <c r="Q227" i="14"/>
  <c r="P227" i="14"/>
  <c r="R227" i="14"/>
  <c r="Q124" i="14"/>
  <c r="R124" i="14"/>
  <c r="P124" i="14"/>
  <c r="P314" i="14"/>
  <c r="Q314" i="14"/>
  <c r="R314" i="14"/>
  <c r="Q55" i="14"/>
  <c r="R55" i="14"/>
  <c r="P55" i="14"/>
  <c r="P244" i="14"/>
  <c r="R244" i="14"/>
  <c r="Q244" i="14"/>
  <c r="R319" i="14"/>
  <c r="P319" i="14"/>
  <c r="Q319" i="14"/>
  <c r="P294" i="14"/>
  <c r="Q294" i="14"/>
  <c r="R294" i="14"/>
  <c r="R66" i="14"/>
  <c r="P66" i="14"/>
  <c r="Q66" i="14"/>
  <c r="P295" i="14"/>
  <c r="R295" i="14"/>
  <c r="Q295" i="14"/>
  <c r="Q198" i="14"/>
  <c r="P198" i="14"/>
  <c r="R198" i="14"/>
  <c r="R63" i="14"/>
  <c r="P63" i="14"/>
  <c r="Q63" i="14"/>
  <c r="P329" i="14"/>
  <c r="R329" i="14"/>
  <c r="Q329" i="14"/>
  <c r="R293" i="14"/>
  <c r="Q293" i="14"/>
  <c r="P293" i="14"/>
  <c r="Q249" i="14"/>
  <c r="P249" i="14"/>
  <c r="R249" i="14"/>
  <c r="Q261" i="14"/>
  <c r="P261" i="14"/>
  <c r="R261" i="14"/>
  <c r="P211" i="14"/>
  <c r="Q211" i="14"/>
  <c r="R211" i="14"/>
  <c r="P153" i="14"/>
  <c r="R153" i="14"/>
  <c r="Q153" i="14"/>
  <c r="P342" i="14"/>
  <c r="R342" i="14"/>
  <c r="Q342" i="14"/>
  <c r="R192" i="14"/>
  <c r="P192" i="14"/>
  <c r="Q192" i="14"/>
  <c r="R217" i="14"/>
  <c r="Q217" i="14"/>
  <c r="P217" i="14"/>
  <c r="P232" i="14"/>
  <c r="R232" i="14"/>
  <c r="Q232" i="14"/>
  <c r="P229" i="14"/>
  <c r="R229" i="14"/>
  <c r="Q229" i="14"/>
  <c r="R199" i="14"/>
  <c r="Q199" i="14"/>
  <c r="P199" i="14"/>
  <c r="Q92" i="14"/>
  <c r="R92" i="14"/>
  <c r="P92" i="14"/>
  <c r="Q360" i="14"/>
  <c r="P360" i="14"/>
  <c r="R360" i="14"/>
  <c r="P219" i="14"/>
  <c r="Q219" i="14"/>
  <c r="R219" i="14"/>
  <c r="P157" i="14"/>
  <c r="R157" i="14"/>
  <c r="Q157" i="14"/>
  <c r="R123" i="14"/>
  <c r="P123" i="14"/>
  <c r="D25" i="11" s="1"/>
  <c r="E25" i="11" s="1"/>
  <c r="Q123" i="14"/>
  <c r="D22" i="11" s="1"/>
  <c r="E22" i="11" s="1"/>
  <c r="P337" i="14"/>
  <c r="Q337" i="14"/>
  <c r="R337" i="14"/>
  <c r="P69" i="14"/>
  <c r="Q69" i="14"/>
  <c r="R69" i="14"/>
  <c r="R226" i="14"/>
  <c r="P226" i="14"/>
  <c r="Q226" i="14"/>
  <c r="P347" i="14"/>
  <c r="R347" i="14"/>
  <c r="Q347" i="14"/>
  <c r="R201" i="14"/>
  <c r="Q201" i="14"/>
  <c r="P201" i="14"/>
  <c r="P129" i="14"/>
  <c r="R129" i="14"/>
  <c r="Q129" i="14"/>
  <c r="Q272" i="14"/>
  <c r="R272" i="14"/>
  <c r="P272" i="14"/>
  <c r="R130" i="14"/>
  <c r="P130" i="14"/>
  <c r="Q130" i="14"/>
  <c r="P182" i="14"/>
  <c r="R182" i="14"/>
  <c r="Q182" i="14"/>
  <c r="Q327" i="14"/>
  <c r="R327" i="14"/>
  <c r="P327" i="14"/>
  <c r="P79" i="14"/>
  <c r="Q79" i="14"/>
  <c r="R79" i="14"/>
  <c r="R268" i="14"/>
  <c r="Q268" i="14"/>
  <c r="P268" i="14"/>
  <c r="Q141" i="14"/>
  <c r="P141" i="14"/>
  <c r="R141" i="14"/>
  <c r="Q88" i="14"/>
  <c r="R88" i="14"/>
  <c r="P88" i="14"/>
  <c r="P231" i="14"/>
  <c r="R231" i="14"/>
  <c r="Q231" i="14"/>
  <c r="Q50" i="14"/>
  <c r="R50" i="14"/>
  <c r="P50" i="14"/>
  <c r="O50" i="14" s="1"/>
  <c r="R334" i="14"/>
  <c r="Q334" i="14"/>
  <c r="P334" i="14"/>
  <c r="Q338" i="14"/>
  <c r="P338" i="14"/>
  <c r="R338" i="14"/>
  <c r="Q257" i="14"/>
  <c r="P257" i="14"/>
  <c r="R257" i="14"/>
  <c r="R212" i="14"/>
  <c r="Q212" i="14"/>
  <c r="P212" i="14"/>
  <c r="Q283" i="14"/>
  <c r="R283" i="14"/>
  <c r="P283" i="14"/>
  <c r="P31" i="14"/>
  <c r="Q31" i="14"/>
  <c r="R31" i="14"/>
  <c r="P267" i="14"/>
  <c r="Q267" i="14"/>
  <c r="R267" i="14"/>
  <c r="R351" i="14"/>
  <c r="Q351" i="14"/>
  <c r="P351" i="14"/>
  <c r="P325" i="14"/>
  <c r="Q325" i="14"/>
  <c r="R325" i="14"/>
  <c r="R223" i="14"/>
  <c r="Q223" i="14"/>
  <c r="P223" i="14"/>
  <c r="Q364" i="14"/>
  <c r="R364" i="14"/>
  <c r="P364" i="14"/>
  <c r="P301" i="14"/>
  <c r="Q301" i="14"/>
  <c r="R301" i="14"/>
  <c r="R73" i="14"/>
  <c r="P73" i="14"/>
  <c r="Q73" i="14"/>
  <c r="Q60" i="14"/>
  <c r="P60" i="14"/>
  <c r="R60" i="14"/>
  <c r="R131" i="14"/>
  <c r="P131" i="14"/>
  <c r="Q131" i="14"/>
  <c r="P161" i="14"/>
  <c r="Q161" i="14"/>
  <c r="R161" i="14"/>
  <c r="Q46" i="14"/>
  <c r="R46" i="14"/>
  <c r="P46" i="14"/>
  <c r="P127" i="14"/>
  <c r="O127" i="14" s="1"/>
  <c r="R127" i="14"/>
  <c r="Q127" i="14"/>
  <c r="Q282" i="14"/>
  <c r="P282" i="14"/>
  <c r="R282" i="14"/>
  <c r="R35" i="14"/>
  <c r="Q35" i="14"/>
  <c r="P35" i="14"/>
  <c r="Q95" i="14"/>
  <c r="P95" i="14"/>
  <c r="R95" i="14"/>
  <c r="P107" i="14"/>
  <c r="O107" i="14" s="1"/>
  <c r="R107" i="14"/>
  <c r="Q107" i="14"/>
  <c r="R62" i="14"/>
  <c r="Q62" i="14"/>
  <c r="P62" i="14"/>
  <c r="Q159" i="14"/>
  <c r="R159" i="14"/>
  <c r="P159" i="14"/>
  <c r="O159" i="14" s="1"/>
  <c r="P246" i="14"/>
  <c r="Q246" i="14"/>
  <c r="R246" i="14"/>
  <c r="Q367" i="14"/>
  <c r="P367" i="14"/>
  <c r="R367" i="14"/>
  <c r="Q32" i="14"/>
  <c r="P32" i="14"/>
  <c r="R32" i="14"/>
  <c r="Q225" i="14"/>
  <c r="P225" i="14"/>
  <c r="R225" i="14"/>
  <c r="Q75" i="14"/>
  <c r="R75" i="14"/>
  <c r="P75" i="14"/>
  <c r="P340" i="14"/>
  <c r="R340" i="14"/>
  <c r="Q340" i="14"/>
  <c r="P305" i="14"/>
  <c r="R305" i="14"/>
  <c r="Q305" i="14"/>
  <c r="P76" i="14"/>
  <c r="Q76" i="14"/>
  <c r="R76" i="14"/>
  <c r="R77" i="14"/>
  <c r="Q77" i="14"/>
  <c r="P77" i="14"/>
  <c r="R220" i="14"/>
  <c r="Q220" i="14"/>
  <c r="P220" i="14"/>
  <c r="P321" i="14"/>
  <c r="Q321" i="14"/>
  <c r="R321" i="14"/>
  <c r="Q233" i="14"/>
  <c r="P233" i="14"/>
  <c r="R233" i="14"/>
  <c r="R308" i="14"/>
  <c r="P308" i="14"/>
  <c r="Q308" i="14"/>
  <c r="R116" i="14"/>
  <c r="Q116" i="14"/>
  <c r="P116" i="14"/>
  <c r="F11" i="9"/>
  <c r="H11" i="9" s="1"/>
  <c r="P118" i="14"/>
  <c r="Q118" i="14"/>
  <c r="R118" i="14"/>
  <c r="Q255" i="14"/>
  <c r="P255" i="14"/>
  <c r="R255" i="14"/>
  <c r="Q58" i="14"/>
  <c r="R58" i="14"/>
  <c r="P58" i="14"/>
  <c r="Z39" i="15"/>
  <c r="U39" i="15"/>
  <c r="X39" i="15" s="1"/>
  <c r="R245" i="14"/>
  <c r="P245" i="14"/>
  <c r="Q245" i="14"/>
  <c r="R81" i="14"/>
  <c r="P81" i="14"/>
  <c r="Q81" i="14"/>
  <c r="P259" i="14"/>
  <c r="Q259" i="14"/>
  <c r="R259" i="14"/>
  <c r="P44" i="14"/>
  <c r="R44" i="14"/>
  <c r="Q44" i="14"/>
  <c r="P173" i="14"/>
  <c r="R173" i="14"/>
  <c r="Q173" i="14"/>
  <c r="R108" i="14"/>
  <c r="P108" i="14"/>
  <c r="Q108" i="14"/>
  <c r="P316" i="14"/>
  <c r="Q316" i="14"/>
  <c r="R316" i="14"/>
  <c r="P363" i="14"/>
  <c r="Q363" i="14"/>
  <c r="R363" i="14"/>
  <c r="Z47" i="15"/>
  <c r="U47" i="15"/>
  <c r="X47" i="15" s="1"/>
  <c r="R122" i="14"/>
  <c r="Q122" i="14"/>
  <c r="P122" i="14"/>
  <c r="Q242" i="14"/>
  <c r="P242" i="14"/>
  <c r="R242" i="14"/>
  <c r="P250" i="14"/>
  <c r="R250" i="14"/>
  <c r="Q250" i="14"/>
  <c r="Q180" i="14"/>
  <c r="R180" i="14"/>
  <c r="P180" i="14"/>
  <c r="Q304" i="14"/>
  <c r="R304" i="14"/>
  <c r="P304" i="14"/>
  <c r="P87" i="14"/>
  <c r="R87" i="14"/>
  <c r="Q87" i="14"/>
  <c r="P172" i="14"/>
  <c r="Q172" i="14"/>
  <c r="R172" i="14"/>
  <c r="P177" i="14"/>
  <c r="Q177" i="14"/>
  <c r="R177" i="14"/>
  <c r="Q237" i="14"/>
  <c r="P237" i="14"/>
  <c r="R237" i="14"/>
  <c r="P326" i="14"/>
  <c r="Q326" i="14"/>
  <c r="R326" i="14"/>
  <c r="R114" i="14"/>
  <c r="P114" i="14"/>
  <c r="Q114" i="14"/>
  <c r="Q275" i="14"/>
  <c r="R275" i="14"/>
  <c r="P275" i="14"/>
  <c r="R181" i="14"/>
  <c r="Q181" i="14"/>
  <c r="P181" i="14"/>
  <c r="Q306" i="14"/>
  <c r="P306" i="14"/>
  <c r="R306" i="14"/>
  <c r="P191" i="14"/>
  <c r="R191" i="14"/>
  <c r="Q191" i="14"/>
  <c r="Q83" i="14"/>
  <c r="P83" i="14"/>
  <c r="R83" i="14"/>
  <c r="D10" i="11"/>
  <c r="D19" i="11"/>
  <c r="X41" i="15" l="1"/>
  <c r="G4" i="9" s="1"/>
  <c r="E4" i="9"/>
  <c r="C11" i="11" s="1"/>
  <c r="O164" i="14"/>
  <c r="O210" i="14"/>
  <c r="O322" i="14"/>
  <c r="O113" i="14"/>
  <c r="O166" i="14"/>
  <c r="O289" i="14"/>
  <c r="O238" i="14"/>
  <c r="O85" i="14"/>
  <c r="O131" i="14"/>
  <c r="O31" i="14"/>
  <c r="O248" i="14"/>
  <c r="O143" i="14"/>
  <c r="O221" i="14"/>
  <c r="O38" i="14"/>
  <c r="O302" i="14"/>
  <c r="O270" i="14"/>
  <c r="O286" i="14"/>
  <c r="O216" i="14"/>
  <c r="O365" i="14"/>
  <c r="O281" i="14"/>
  <c r="O310" i="14"/>
  <c r="O80" i="14"/>
  <c r="O351" i="14"/>
  <c r="O267" i="14"/>
  <c r="O212" i="14"/>
  <c r="O257" i="14"/>
  <c r="O122" i="14"/>
  <c r="O268" i="14"/>
  <c r="O261" i="14"/>
  <c r="O290" i="14"/>
  <c r="O144" i="14"/>
  <c r="O40" i="14"/>
  <c r="O277" i="14"/>
  <c r="O366" i="14"/>
  <c r="O355" i="14"/>
  <c r="O272" i="14"/>
  <c r="O102" i="14"/>
  <c r="O234" i="14"/>
  <c r="O312" i="14"/>
  <c r="O52" i="14"/>
  <c r="O346" i="14"/>
  <c r="O265" i="14"/>
  <c r="O243" i="14"/>
  <c r="O240" i="14"/>
  <c r="O121" i="14"/>
  <c r="O217" i="14"/>
  <c r="O348" i="14"/>
  <c r="O36" i="14"/>
  <c r="O235" i="14"/>
  <c r="O250" i="14"/>
  <c r="O32" i="14"/>
  <c r="O35" i="14"/>
  <c r="O282" i="14"/>
  <c r="O29" i="14"/>
  <c r="O182" i="14"/>
  <c r="O271" i="14"/>
  <c r="O264" i="14"/>
  <c r="O278" i="14"/>
  <c r="O151" i="14"/>
  <c r="O349" i="14"/>
  <c r="O317" i="14"/>
  <c r="O205" i="14"/>
  <c r="O214" i="14"/>
  <c r="O258" i="14"/>
  <c r="O330" i="14"/>
  <c r="O94" i="14"/>
  <c r="O307" i="14"/>
  <c r="O137" i="14"/>
  <c r="O136" i="14"/>
  <c r="O218" i="14"/>
  <c r="O190" i="14"/>
  <c r="O135" i="14"/>
  <c r="O104" i="14"/>
  <c r="O67" i="14"/>
  <c r="O197" i="14"/>
  <c r="O288" i="14"/>
  <c r="O188" i="14"/>
  <c r="O361" i="14"/>
  <c r="O309" i="14"/>
  <c r="O91" i="14"/>
  <c r="O192" i="14"/>
  <c r="O306" i="14"/>
  <c r="O242" i="14"/>
  <c r="O363" i="14"/>
  <c r="O172" i="14"/>
  <c r="O173" i="14"/>
  <c r="O305" i="14"/>
  <c r="O75" i="14"/>
  <c r="O46" i="14"/>
  <c r="O283" i="14"/>
  <c r="O153" i="14"/>
  <c r="O105" i="14"/>
  <c r="O308" i="14"/>
  <c r="O220" i="14"/>
  <c r="O76" i="14"/>
  <c r="O95" i="14"/>
  <c r="O161" i="14"/>
  <c r="O73" i="14"/>
  <c r="O301" i="14"/>
  <c r="O223" i="14"/>
  <c r="O141" i="14"/>
  <c r="O327" i="14"/>
  <c r="O347" i="14"/>
  <c r="O360" i="14"/>
  <c r="O211" i="14"/>
  <c r="O124" i="14"/>
  <c r="O227" i="14"/>
  <c r="O358" i="14"/>
  <c r="O184" i="14"/>
  <c r="O65" i="14"/>
  <c r="O252" i="14"/>
  <c r="O45" i="14"/>
  <c r="O82" i="14"/>
  <c r="O359" i="14"/>
  <c r="O247" i="14"/>
  <c r="O297" i="14"/>
  <c r="O175" i="14"/>
  <c r="O228" i="14"/>
  <c r="O280" i="14"/>
  <c r="O72" i="14"/>
  <c r="O356" i="14"/>
  <c r="O132" i="14"/>
  <c r="O194" i="14"/>
  <c r="O245" i="14"/>
  <c r="O118" i="14"/>
  <c r="O226" i="14"/>
  <c r="O69" i="14"/>
  <c r="O63" i="14"/>
  <c r="O331" i="14"/>
  <c r="O241" i="14"/>
  <c r="O357" i="14"/>
  <c r="E19" i="11"/>
  <c r="C29" i="11"/>
  <c r="E10" i="11"/>
  <c r="O237" i="14"/>
  <c r="O177" i="14"/>
  <c r="O108" i="14"/>
  <c r="O81" i="14"/>
  <c r="O233" i="14"/>
  <c r="O321" i="14"/>
  <c r="O77" i="14"/>
  <c r="O225" i="14"/>
  <c r="O334" i="14"/>
  <c r="O231" i="14"/>
  <c r="O79" i="14"/>
  <c r="O130" i="14"/>
  <c r="O201" i="14"/>
  <c r="O123" i="14"/>
  <c r="D16" i="11" s="1"/>
  <c r="E16" i="11" s="1"/>
  <c r="O157" i="14"/>
  <c r="O293" i="14"/>
  <c r="O66" i="14"/>
  <c r="O294" i="14"/>
  <c r="O244" i="14"/>
  <c r="O314" i="14"/>
  <c r="O350" i="14"/>
  <c r="O125" i="14"/>
  <c r="V49" i="15"/>
  <c r="Y49" i="15" s="1"/>
  <c r="V46" i="15"/>
  <c r="Y46" i="15" s="1"/>
  <c r="V41" i="15"/>
  <c r="V47" i="15"/>
  <c r="Y47" i="15" s="1"/>
  <c r="X38" i="15"/>
  <c r="V39" i="15"/>
  <c r="Y39" i="15" s="1"/>
  <c r="V43" i="15"/>
  <c r="Y43" i="15" s="1"/>
  <c r="V48" i="15"/>
  <c r="Y48" i="15" s="1"/>
  <c r="V38" i="15"/>
  <c r="Y38" i="15" s="1"/>
  <c r="V40" i="15"/>
  <c r="Y40" i="15" s="1"/>
  <c r="V45" i="15"/>
  <c r="Y45" i="15" s="1"/>
  <c r="V44" i="15"/>
  <c r="Y44" i="15" s="1"/>
  <c r="V42" i="15"/>
  <c r="Y42" i="15" s="1"/>
  <c r="L18" i="9"/>
  <c r="O93" i="14"/>
  <c r="D12" i="11"/>
  <c r="H4" i="10"/>
  <c r="D30" i="11" s="1"/>
  <c r="O345" i="14"/>
  <c r="O236" i="14"/>
  <c r="O42" i="14"/>
  <c r="O145" i="14"/>
  <c r="O209" i="14"/>
  <c r="O96" i="14"/>
  <c r="L4" i="9"/>
  <c r="O320" i="14"/>
  <c r="L11" i="9"/>
  <c r="O116" i="14"/>
  <c r="O88" i="14"/>
  <c r="O41" i="14"/>
  <c r="O328" i="14"/>
  <c r="O150" i="14"/>
  <c r="O206" i="14"/>
  <c r="O292" i="14"/>
  <c r="O336" i="14"/>
  <c r="O133" i="14"/>
  <c r="O266" i="14"/>
  <c r="O254" i="14"/>
  <c r="N18" i="9"/>
  <c r="O315" i="14"/>
  <c r="O165" i="14"/>
  <c r="O303" i="14"/>
  <c r="O318" i="14"/>
  <c r="L4" i="10"/>
  <c r="O28" i="14"/>
  <c r="O142" i="14"/>
  <c r="O37" i="14"/>
  <c r="O296" i="14"/>
  <c r="O196" i="14"/>
  <c r="O119" i="14"/>
  <c r="O39" i="14"/>
  <c r="O134" i="14"/>
  <c r="O230" i="14"/>
  <c r="O169" i="14"/>
  <c r="O146" i="14"/>
  <c r="O352" i="14"/>
  <c r="O262" i="14"/>
  <c r="O100" i="14"/>
  <c r="O53" i="14"/>
  <c r="O126" i="14"/>
  <c r="O103" i="14"/>
  <c r="O30" i="14"/>
  <c r="O284" i="14"/>
  <c r="O311" i="14"/>
  <c r="O78" i="14"/>
  <c r="O168" i="14"/>
  <c r="H4" i="9"/>
  <c r="D29" i="11" s="1"/>
  <c r="D11" i="11"/>
  <c r="E11" i="11" s="1"/>
  <c r="R4" i="9"/>
  <c r="O47" i="14"/>
  <c r="O186" i="14"/>
  <c r="O204" i="14"/>
  <c r="O154" i="14"/>
  <c r="O203" i="14"/>
  <c r="O33" i="14"/>
  <c r="O279" i="14"/>
  <c r="O275" i="14"/>
  <c r="O114" i="14"/>
  <c r="O326" i="14"/>
  <c r="O87" i="14"/>
  <c r="O180" i="14"/>
  <c r="O316" i="14"/>
  <c r="O259" i="14"/>
  <c r="N11" i="9"/>
  <c r="O367" i="14"/>
  <c r="O246" i="14"/>
  <c r="O62" i="14"/>
  <c r="O60" i="14"/>
  <c r="O364" i="14"/>
  <c r="O325" i="14"/>
  <c r="O338" i="14"/>
  <c r="O337" i="14"/>
  <c r="O219" i="14"/>
  <c r="O199" i="14"/>
  <c r="O232" i="14"/>
  <c r="O249" i="14"/>
  <c r="O198" i="14"/>
  <c r="O295" i="14"/>
  <c r="O319" i="14"/>
  <c r="O202" i="14"/>
  <c r="O344" i="14"/>
  <c r="O300" i="14"/>
  <c r="O263" i="14"/>
  <c r="O171" i="14"/>
  <c r="O86" i="14"/>
  <c r="O138" i="14"/>
  <c r="O287" i="14"/>
  <c r="O362" i="14"/>
  <c r="O120" i="14"/>
  <c r="O99" i="14"/>
  <c r="O84" i="14"/>
  <c r="O110" i="14"/>
  <c r="O34" i="14"/>
  <c r="O333" i="14"/>
  <c r="O269" i="14"/>
  <c r="O74" i="14"/>
  <c r="O353" i="14"/>
  <c r="O139" i="14"/>
  <c r="O339" i="14"/>
  <c r="O59" i="14"/>
  <c r="O43" i="14"/>
  <c r="O57" i="14"/>
  <c r="O89" i="14"/>
  <c r="O48" i="14"/>
  <c r="O183" i="14"/>
  <c r="N4" i="10"/>
  <c r="O160" i="14"/>
  <c r="O179" i="14"/>
  <c r="J11" i="9"/>
  <c r="O115" i="14"/>
  <c r="N4" i="9"/>
  <c r="O239" i="14"/>
  <c r="O276" i="14"/>
  <c r="O83" i="14"/>
  <c r="O191" i="14"/>
  <c r="O181" i="14"/>
  <c r="O304" i="14"/>
  <c r="O44" i="14"/>
  <c r="O58" i="14"/>
  <c r="O255" i="14"/>
  <c r="O340" i="14"/>
  <c r="O129" i="14"/>
  <c r="O92" i="14"/>
  <c r="O229" i="14"/>
  <c r="O342" i="14"/>
  <c r="O329" i="14"/>
  <c r="O55" i="14"/>
  <c r="O64" i="14"/>
  <c r="O207" i="14"/>
  <c r="O222" i="14"/>
  <c r="O200" i="14"/>
  <c r="O368" i="14"/>
  <c r="O343" i="14"/>
  <c r="O176" i="14"/>
  <c r="O152" i="14"/>
  <c r="O187" i="14"/>
  <c r="O163" i="14"/>
  <c r="O56" i="14"/>
  <c r="O256" i="14"/>
  <c r="O155" i="14"/>
  <c r="O170" i="14"/>
  <c r="O354" i="14"/>
  <c r="O156" i="14"/>
  <c r="O109" i="14"/>
  <c r="O369" i="14"/>
  <c r="O147" i="14"/>
  <c r="O341" i="14"/>
  <c r="O274" i="14"/>
  <c r="O224" i="14"/>
  <c r="O128" i="14"/>
  <c r="O167" i="14"/>
  <c r="O70" i="14"/>
  <c r="O158" i="14"/>
  <c r="J4" i="10"/>
  <c r="D21" i="11" s="1"/>
  <c r="E21" i="11" s="1"/>
  <c r="O324" i="14"/>
  <c r="O273" i="14"/>
  <c r="O298" i="14"/>
  <c r="O193" i="14"/>
  <c r="O253" i="14"/>
  <c r="O208" i="14"/>
  <c r="O117" i="14"/>
  <c r="O49" i="14"/>
  <c r="O189" i="14"/>
  <c r="O112" i="14"/>
  <c r="O323" i="14"/>
  <c r="O174" i="14"/>
  <c r="O61" i="14"/>
  <c r="O90" i="14"/>
  <c r="J4" i="9"/>
  <c r="D20" i="11" s="1"/>
  <c r="E20" i="11" s="1"/>
  <c r="O260" i="14"/>
  <c r="O71" i="14"/>
  <c r="O213" i="14"/>
  <c r="O251" i="14"/>
  <c r="O54" i="14"/>
  <c r="O68" i="14"/>
  <c r="O51" i="14"/>
  <c r="O149" i="14"/>
  <c r="O299" i="14"/>
  <c r="O148" i="14"/>
  <c r="O215" i="14"/>
  <c r="Y41" i="15" l="1"/>
  <c r="G4" i="10" s="1"/>
  <c r="C30" i="11" s="1"/>
  <c r="E30" i="11" s="1"/>
  <c r="E4" i="10"/>
  <c r="C12" i="11" s="1"/>
  <c r="E12" i="11" s="1"/>
  <c r="E29" i="11"/>
  <c r="D23" i="11"/>
  <c r="E23" i="11" s="1"/>
  <c r="D26" i="11"/>
  <c r="E26" i="11" s="1"/>
  <c r="P11" i="9"/>
  <c r="P18" i="9"/>
  <c r="D27" i="11"/>
  <c r="E27" i="11" s="1"/>
  <c r="D24" i="11"/>
  <c r="E24" i="11" s="1"/>
  <c r="P4" i="9"/>
  <c r="D17" i="11" s="1"/>
  <c r="E17" i="11" s="1"/>
  <c r="P4" i="10"/>
  <c r="D18" i="11" s="1"/>
  <c r="E18" i="11" s="1"/>
</calcChain>
</file>

<file path=xl/sharedStrings.xml><?xml version="1.0" encoding="utf-8"?>
<sst xmlns="http://schemas.openxmlformats.org/spreadsheetml/2006/main" count="11919" uniqueCount="1010">
  <si>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</si>
  <si>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</si>
  <si>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</si>
  <si>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</si>
  <si>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</si>
  <si>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</si>
  <si>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</si>
  <si>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</si>
  <si>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</si>
  <si>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</si>
  <si>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</si>
  <si>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</si>
  <si>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</si>
  <si>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</si>
  <si>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</si>
  <si>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</si>
  <si>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</si>
  <si>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</si>
  <si>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</si>
  <si>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</si>
  <si>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</si>
  <si>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</si>
  <si>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</si>
  <si>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</si>
  <si>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</si>
  <si>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</si>
  <si>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</si>
  <si>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</si>
  <si>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</si>
  <si>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</si>
  <si>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</si>
  <si>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</si>
  <si>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</si>
  <si>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</si>
  <si>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</si>
  <si>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</si>
  <si>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</si>
  <si>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</si>
  <si>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</si>
  <si>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</si>
  <si>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</si>
  <si>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</si>
  <si>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</si>
  <si>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</si>
  <si>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</si>
  <si>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</si>
  <si>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</si>
  <si>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</si>
  <si>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</si>
  <si>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</si>
  <si>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</si>
  <si>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</si>
  <si>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</si>
  <si>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</si>
  <si>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</si>
  <si>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</si>
  <si>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</si>
  <si>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</si>
  <si>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</si>
  <si>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</si>
  <si>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</si>
  <si>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</si>
  <si>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</si>
  <si>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</si>
  <si>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</si>
  <si>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</si>
  <si>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</si>
  <si>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</si>
  <si>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</si>
  <si>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</si>
  <si>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</si>
  <si>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</si>
  <si>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</si>
  <si>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</si>
  <si>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</si>
  <si>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</si>
  <si>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</si>
  <si>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</si>
  <si>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</si>
  <si>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</si>
  <si>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</si>
  <si>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</si>
  <si>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</si>
  <si>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</si>
  <si>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</si>
  <si>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</si>
  <si>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</si>
  <si>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</si>
  <si>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</si>
  <si>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</si>
  <si>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</si>
  <si>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</si>
  <si>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</si>
  <si>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</si>
  <si>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</si>
  <si>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</si>
  <si>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</si>
  <si>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</si>
  <si>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</si>
  <si>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</si>
  <si>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</si>
  <si>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</si>
  <si>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</si>
  <si>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</si>
  <si>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</si>
  <si>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</si>
  <si>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</si>
  <si>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</si>
  <si>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</si>
  <si>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</si>
  <si>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</si>
  <si>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</si>
  <si>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</si>
  <si>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</si>
  <si>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</si>
  <si>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</si>
  <si>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</si>
  <si>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</si>
  <si>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</si>
  <si>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</si>
  <si>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</si>
  <si>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</si>
  <si>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</si>
  <si>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</si>
  <si>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</si>
  <si>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</si>
  <si>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</si>
  <si>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</si>
  <si>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</si>
  <si>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</si>
  <si>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</si>
  <si>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</si>
  <si>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</si>
  <si>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</si>
  <si>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</si>
  <si>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</si>
  <si>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</si>
  <si>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</si>
  <si>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</si>
  <si>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</si>
  <si>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</si>
  <si>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</si>
  <si>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</si>
  <si>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</si>
  <si>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</si>
  <si>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</si>
  <si>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</si>
  <si>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</si>
  <si>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</si>
  <si>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</si>
  <si>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</si>
  <si>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</si>
  <si>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</si>
  <si>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</si>
  <si>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</si>
  <si>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</si>
  <si>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</si>
  <si>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</si>
  <si>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</si>
  <si>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</si>
  <si>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</si>
  <si>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</si>
  <si>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</si>
  <si>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</si>
  <si>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</si>
  <si>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</si>
  <si>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</si>
  <si>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</si>
  <si>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</si>
  <si>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</si>
  <si>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</si>
  <si>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</si>
  <si>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</si>
  <si>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</si>
  <si>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</si>
  <si>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</si>
  <si>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</si>
  <si>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</si>
  <si>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</si>
  <si>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</si>
  <si>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</si>
  <si>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</si>
  <si>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</si>
  <si>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</si>
  <si>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</si>
  <si>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</si>
  <si>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</si>
  <si>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</si>
  <si>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</si>
  <si>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</si>
  <si>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</si>
  <si>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</si>
  <si>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</si>
  <si>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</si>
  <si>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</si>
  <si>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</si>
  <si>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</si>
  <si>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</si>
  <si>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</si>
  <si>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</si>
  <si>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</si>
  <si>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</si>
  <si>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</si>
  <si>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</si>
  <si>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</si>
  <si>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</si>
  <si>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</si>
  <si>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</si>
  <si>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</si>
  <si>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</si>
  <si>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</si>
  <si>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</si>
  <si>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</si>
  <si>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</si>
  <si>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</si>
  <si>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</si>
  <si>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</si>
  <si>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</si>
  <si>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</si>
  <si>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</si>
  <si>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</si>
  <si>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</si>
  <si>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</si>
  <si>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</si>
  <si>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</si>
  <si>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</si>
  <si>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</si>
  <si>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</si>
  <si>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</si>
  <si>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</si>
  <si>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</si>
  <si>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</si>
  <si>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</si>
  <si>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</si>
  <si>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</si>
  <si>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</si>
  <si>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</si>
  <si>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</si>
  <si>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</si>
  <si>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</si>
  <si>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</si>
  <si>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</si>
  <si>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</si>
  <si>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</si>
  <si>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</si>
  <si>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</si>
  <si>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</si>
  <si>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</si>
  <si>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</si>
  <si>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</si>
  <si>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</si>
  <si>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</si>
  <si>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</si>
  <si>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</si>
  <si>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</si>
  <si>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</si>
  <si>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</si>
  <si>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</si>
  <si>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</si>
  <si>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</si>
  <si>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</si>
  <si>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</si>
  <si>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</si>
  <si>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</si>
  <si>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</si>
  <si>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</si>
  <si>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</si>
  <si>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</si>
  <si>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</si>
  <si>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</si>
  <si>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</si>
  <si>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</si>
  <si>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</si>
  <si>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</si>
  <si>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</si>
  <si>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</si>
  <si>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</si>
  <si>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</si>
  <si>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</si>
  <si>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</si>
  <si>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</si>
  <si>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</si>
  <si>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</si>
  <si>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</si>
  <si>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</si>
  <si>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</si>
  <si>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</si>
  <si>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</si>
  <si>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</si>
  <si>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</si>
  <si>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</si>
  <si>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</si>
  <si>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</si>
  <si>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</si>
  <si>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</si>
  <si>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</si>
  <si>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</si>
  <si>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</si>
  <si>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</si>
  <si>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</si>
  <si>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</si>
  <si>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</si>
  <si>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</si>
  <si>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</si>
  <si>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</si>
  <si>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</si>
  <si>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</si>
  <si>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</si>
  <si>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</si>
  <si>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</si>
  <si>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</si>
  <si>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</si>
  <si>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</si>
  <si>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</si>
  <si>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</si>
  <si>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</si>
  <si>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</si>
  <si>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</si>
  <si>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</si>
  <si>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</si>
  <si>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</si>
  <si>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</si>
  <si>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</si>
  <si>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</si>
  <si>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</si>
  <si>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</si>
  <si>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</si>
  <si>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</si>
  <si>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</si>
  <si>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</si>
  <si>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</si>
  <si>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</si>
  <si>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</si>
  <si>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</si>
  <si>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</si>
  <si>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</si>
  <si>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</si>
  <si>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</si>
  <si>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</si>
  <si>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</si>
  <si>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</si>
  <si>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</si>
  <si>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</si>
  <si>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</si>
  <si>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</si>
  <si>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</si>
  <si>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</si>
  <si>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</si>
  <si>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</si>
  <si>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</si>
  <si>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</si>
  <si>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</si>
  <si>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</si>
  <si>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</si>
  <si>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</si>
  <si>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</si>
  <si>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</si>
  <si>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</si>
  <si>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</si>
  <si>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</si>
  <si>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</si>
  <si>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</si>
  <si>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</si>
  <si>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</si>
  <si>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</si>
  <si>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</si>
  <si>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</si>
  <si>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</si>
  <si>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</si>
  <si>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</si>
  <si>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</si>
  <si>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</si>
  <si>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</si>
  <si>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</si>
  <si>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</si>
  <si>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</si>
  <si>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</si>
  <si>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</si>
  <si>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</si>
  <si>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</si>
  <si>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</si>
  <si>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</si>
  <si>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</si>
  <si>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</si>
  <si>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</si>
  <si>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</si>
  <si>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</si>
  <si>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</si>
  <si>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</si>
  <si>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</si>
  <si>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</si>
  <si>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</si>
  <si>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</si>
  <si>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</si>
  <si>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</si>
  <si>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</si>
  <si>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</si>
  <si>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</si>
  <si>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</si>
  <si>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</si>
  <si>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</si>
  <si>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</si>
  <si>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</si>
  <si>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</si>
  <si>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</si>
  <si>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</si>
  <si>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</si>
  <si>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</si>
  <si>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</si>
  <si>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</si>
  <si>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</si>
  <si>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</si>
  <si>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</si>
  <si>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</si>
  <si>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</si>
  <si>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</si>
  <si>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</si>
  <si>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</si>
  <si>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</si>
  <si>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</si>
  <si>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</si>
  <si>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</si>
  <si>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</si>
  <si>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</si>
  <si>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</si>
  <si>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</si>
  <si>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</si>
  <si>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</si>
  <si>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</si>
  <si>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</si>
  <si>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</si>
  <si>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</si>
  <si>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</si>
  <si>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</si>
  <si>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</si>
  <si>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</si>
  <si>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</si>
  <si>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</si>
  <si>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</si>
  <si>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</si>
  <si>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</si>
  <si>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</si>
  <si>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</si>
  <si>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</si>
  <si>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</si>
  <si>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</si>
  <si>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</si>
  <si>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</si>
  <si>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</si>
  <si>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</si>
  <si>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</si>
  <si>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</si>
  <si>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</si>
  <si>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</si>
  <si>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</si>
  <si>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</si>
  <si>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</si>
  <si>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</si>
  <si>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</si>
  <si>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</si>
  <si>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</si>
  <si>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</si>
  <si>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</si>
  <si>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</si>
  <si>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</si>
  <si>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</si>
  <si>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</si>
  <si>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</si>
  <si>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</si>
  <si>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</si>
  <si>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</si>
  <si>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</si>
  <si>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</si>
  <si>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</si>
  <si>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</si>
  <si>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</si>
  <si>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</si>
  <si>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</si>
  <si>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</si>
  <si>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</si>
  <si>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</si>
  <si>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</si>
  <si>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</si>
  <si>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</si>
  <si>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</si>
  <si>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</si>
  <si>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</si>
  <si>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</si>
  <si>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</si>
  <si>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</si>
  <si>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</si>
  <si>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</si>
  <si>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</si>
  <si>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</si>
  <si>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</si>
  <si>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</si>
  <si>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</si>
  <si>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</si>
  <si>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</si>
  <si>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</si>
  <si>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</si>
  <si>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</si>
  <si>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</si>
  <si>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</si>
  <si>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</si>
  <si>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</si>
  <si>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</si>
  <si>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</si>
  <si>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</si>
  <si>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</si>
  <si>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</si>
  <si>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</si>
  <si>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</si>
  <si>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</si>
  <si>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</si>
  <si>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</si>
  <si>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</si>
  <si>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</si>
  <si>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</si>
  <si>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</si>
  <si>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</si>
  <si>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</si>
  <si>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</si>
  <si>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</si>
  <si>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</si>
  <si>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</si>
  <si>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</si>
  <si>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</si>
  <si>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</si>
  <si>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</si>
  <si>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</si>
  <si>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</si>
  <si>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</si>
  <si>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</si>
  <si>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</si>
  <si>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</si>
  <si>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</si>
  <si>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</si>
  <si>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</si>
  <si>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</si>
  <si>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</si>
  <si>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</si>
  <si>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</si>
  <si>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</si>
  <si>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</si>
  <si>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</si>
  <si>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</si>
  <si>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</si>
  <si>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</si>
  <si>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</si>
  <si>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</si>
  <si>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</si>
  <si>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</si>
  <si>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</si>
  <si>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</si>
  <si>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</si>
  <si>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</si>
  <si>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</si>
  <si>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</si>
  <si>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</si>
  <si>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</si>
  <si>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</si>
  <si>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</si>
  <si>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</si>
  <si>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</si>
  <si>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</si>
  <si>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</si>
  <si>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</si>
  <si>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</si>
  <si>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</si>
  <si>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</si>
  <si>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</si>
  <si>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</si>
  <si>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</si>
  <si>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</si>
  <si>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</si>
  <si>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</si>
  <si>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</si>
  <si>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</si>
  <si>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</si>
  <si>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</si>
  <si>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</si>
  <si>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</si>
  <si>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</si>
  <si>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</si>
  <si>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</si>
  <si>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</si>
  <si>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</si>
  <si>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</si>
  <si>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</si>
  <si>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</si>
  <si>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</si>
  <si>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</si>
  <si>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</si>
  <si>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</si>
  <si>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</si>
  <si>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</si>
  <si>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</si>
  <si>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</si>
  <si>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</si>
  <si>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</si>
  <si>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</si>
  <si>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</si>
  <si>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</si>
  <si>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</si>
  <si>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</si>
  <si>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</si>
  <si>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</si>
  <si>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</si>
  <si>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</si>
  <si>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</si>
  <si>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</si>
  <si>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</si>
  <si>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</si>
  <si>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</si>
  <si>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</si>
  <si>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</si>
  <si>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</si>
  <si>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</si>
  <si>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</si>
  <si>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</si>
  <si>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</si>
  <si>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</si>
  <si>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</si>
  <si>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</si>
  <si>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</si>
  <si>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</si>
  <si>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</si>
  <si>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</si>
  <si>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</si>
  <si>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</si>
  <si>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</si>
  <si>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</si>
  <si>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</si>
  <si>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</si>
  <si>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</si>
  <si>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</si>
  <si>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</si>
  <si>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</si>
  <si>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</si>
  <si>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</si>
  <si>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</si>
  <si>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</si>
  <si>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</si>
  <si>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</si>
  <si>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</si>
  <si>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</si>
  <si>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</si>
  <si>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</si>
  <si>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</si>
  <si>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</si>
  <si>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</si>
  <si>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</si>
  <si>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</si>
  <si>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</si>
  <si>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</si>
  <si>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</si>
  <si>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</si>
  <si>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</si>
  <si>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</si>
  <si>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</si>
  <si>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</si>
  <si>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</si>
  <si>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</si>
  <si>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</si>
  <si>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</si>
  <si>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</si>
  <si>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</si>
  <si>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</si>
  <si>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</si>
  <si>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</si>
  <si>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</si>
  <si>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</si>
  <si>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</si>
  <si>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</si>
  <si>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</si>
  <si>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</si>
  <si>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</si>
  <si>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</si>
  <si>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</si>
  <si>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</si>
  <si>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</si>
  <si>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</si>
  <si>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</si>
  <si>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</si>
  <si>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</si>
  <si>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</si>
  <si>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</si>
  <si>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</si>
  <si>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</si>
  <si>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</si>
  <si>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</si>
  <si>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</si>
  <si>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</si>
  <si>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</si>
  <si>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</si>
  <si>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</si>
  <si>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</si>
  <si>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</si>
  <si>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</si>
  <si>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</si>
  <si>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</si>
  <si>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</si>
  <si>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</si>
  <si>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</si>
  <si>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</si>
  <si>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</si>
  <si>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</si>
  <si>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</si>
  <si>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</si>
  <si>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</si>
  <si>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</si>
  <si>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</si>
  <si>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</si>
  <si>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</si>
  <si>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</si>
  <si>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</si>
  <si>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</si>
  <si>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</si>
  <si>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</si>
  <si>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</si>
  <si>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</si>
  <si>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</si>
  <si>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</si>
  <si>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</si>
  <si>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</si>
  <si>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</si>
  <si>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</si>
  <si>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</si>
  <si>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</si>
  <si>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</si>
  <si>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</si>
  <si>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</si>
  <si>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</si>
  <si>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</si>
  <si>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</si>
  <si>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</si>
  <si>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</si>
  <si>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</si>
  <si>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</si>
  <si>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</si>
  <si>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</si>
  <si>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</si>
  <si>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</si>
  <si>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</si>
  <si>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</si>
  <si>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</si>
  <si>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</si>
  <si>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</si>
  <si>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</si>
  <si>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</si>
  <si>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</si>
  <si>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</si>
  <si>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</si>
  <si>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</si>
  <si>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</si>
  <si>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</si>
  <si>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</si>
  <si>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</si>
  <si>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</si>
  <si>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</si>
  <si>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</si>
  <si>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</si>
  <si>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</si>
  <si>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</si>
  <si>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</si>
  <si>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</si>
  <si>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</si>
  <si>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</si>
  <si>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</si>
  <si>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</si>
  <si>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</si>
  <si>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</si>
  <si>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</si>
  <si>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</si>
  <si>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</si>
  <si>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</si>
  <si>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</si>
  <si>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</si>
  <si>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</si>
  <si>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</si>
  <si>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</si>
  <si>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</si>
  <si>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</si>
  <si>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</si>
  <si>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</si>
  <si>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</si>
  <si>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</si>
  <si>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</si>
  <si>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</si>
  <si>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</si>
  <si>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</si>
  <si>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</si>
  <si>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</si>
  <si>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</si>
  <si>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</si>
  <si>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</si>
  <si>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</si>
  <si>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</si>
  <si>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</si>
  <si>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</si>
  <si>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</si>
  <si>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</si>
  <si>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</si>
  <si>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</si>
  <si>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</si>
  <si>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</si>
  <si>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</si>
  <si>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</si>
  <si>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</si>
  <si>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</si>
  <si>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</si>
  <si>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</si>
  <si>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</si>
  <si>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</si>
  <si>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</si>
  <si>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</si>
  <si>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</si>
  <si>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</si>
  <si>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</si>
  <si>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</si>
  <si>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</si>
  <si>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</si>
  <si>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</si>
  <si>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</si>
  <si>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</si>
  <si>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</si>
  <si>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</si>
  <si>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</si>
  <si>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</si>
  <si>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</si>
  <si>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</si>
  <si>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</si>
  <si>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</si>
  <si>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</si>
  <si>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</si>
  <si>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</si>
  <si>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</si>
  <si>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</si>
  <si>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</si>
  <si>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</si>
  <si>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</si>
  <si>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</si>
  <si>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</si>
  <si>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</si>
  <si>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</si>
  <si>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</si>
  <si>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</si>
  <si>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</si>
  <si>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</si>
  <si>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</si>
  <si>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</si>
  <si>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</si>
  <si>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</si>
  <si>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</si>
  <si>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</si>
  <si>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</si>
  <si>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</si>
  <si>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</si>
  <si>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</si>
  <si>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</si>
  <si>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</si>
  <si>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</si>
  <si>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</si>
  <si>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</si>
  <si>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</si>
  <si>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</si>
  <si>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</si>
  <si>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</si>
  <si>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</si>
  <si>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</si>
  <si>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</si>
  <si>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</si>
  <si>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</si>
  <si>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</si>
  <si>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</si>
  <si>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</si>
  <si>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</si>
  <si>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</si>
  <si>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</si>
  <si>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</si>
  <si>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</si>
  <si>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</si>
  <si>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</si>
  <si>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</si>
  <si>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</si>
  <si>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</si>
  <si>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</si>
  <si>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</si>
  <si>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</si>
  <si>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</si>
  <si>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</si>
  <si>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</si>
  <si>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</si>
  <si>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</si>
  <si>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</si>
  <si>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</si>
  <si>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</si>
  <si>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</si>
  <si>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</si>
  <si>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</si>
  <si>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</si>
  <si>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</si>
  <si>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</si>
  <si>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</si>
  <si>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</si>
  <si>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</si>
  <si>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</si>
  <si>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</si>
  <si>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</si>
  <si>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</si>
  <si>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</si>
  <si>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</si>
  <si>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</si>
  <si>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</si>
  <si>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</si>
  <si>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</si>
  <si>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</si>
  <si>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</si>
  <si>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</si>
  <si>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</si>
  <si>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</si>
  <si>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</si>
  <si>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</si>
  <si>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</si>
  <si>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</si>
  <si>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</si>
  <si>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</si>
  <si>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</si>
  <si>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</si>
  <si>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</si>
  <si>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</si>
  <si>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</si>
  <si>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</si>
  <si>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</si>
  <si>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</si>
  <si>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</si>
  <si>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</si>
  <si>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</si>
  <si>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</si>
  <si>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</si>
  <si>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</si>
  <si>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</si>
  <si>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</si>
  <si>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</si>
  <si>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</si>
  <si>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</si>
  <si>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</si>
  <si>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</si>
  <si>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</si>
  <si>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</si>
  <si>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</si>
  <si>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</si>
  <si>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</si>
  <si>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</si>
  <si>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</si>
  <si>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</si>
  <si>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</si>
  <si>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</si>
  <si>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</si>
  <si>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</si>
  <si>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</si>
  <si>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</si>
  <si>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</si>
  <si>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</si>
  <si>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</si>
  <si>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</si>
  <si>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</si>
  <si>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</si>
  <si>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</si>
  <si>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</si>
  <si>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</si>
  <si>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</si>
  <si>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</si>
  <si>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</si>
  <si>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</si>
  <si>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</si>
  <si>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</si>
  <si>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</si>
  <si>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</si>
  <si>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</si>
  <si>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</si>
  <si>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</si>
  <si>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</si>
  <si>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</si>
  <si>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</si>
  <si>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</si>
  <si>
    <t>S/D for Nerale S/S 33kv side Hotspot removing  work</t>
  </si>
  <si>
    <t>Hotspot removing work completed</t>
  </si>
  <si>
    <t>Ground fault</t>
  </si>
  <si>
    <t>Line converter current alarm</t>
  </si>
  <si>
    <t>CCU controller parameter downloaded &amp; turbine restored</t>
  </si>
  <si>
    <t>Coolent &amp; Distilled water top up &amp; turbine restored</t>
  </si>
  <si>
    <t>S/D for SEM work</t>
  </si>
  <si>
    <t>SEM work completed</t>
  </si>
  <si>
    <t>Top Box fuse or Motor protection alarm</t>
  </si>
  <si>
    <t>Generator Fan MCB tripped we reset MCB &amp; turbine restored</t>
  </si>
  <si>
    <t>Pressure switch rectified &amp; WETC card replaced</t>
  </si>
  <si>
    <t xml:space="preserve">Anemometer failure </t>
  </si>
  <si>
    <t>K-21 contactor cable rectified &amp; turbine restored</t>
  </si>
  <si>
    <t>Blade angle not plausible axis-2</t>
  </si>
  <si>
    <t xml:space="preserve">After feeder restored we observed water ingress inside hub so we remove water turbine restored  </t>
  </si>
  <si>
    <t>PP-20 Pole Near Line tree fall on External line</t>
  </si>
  <si>
    <t>Replaced AEPA &amp; WETB card</t>
  </si>
  <si>
    <t>Replaced WETA card &amp; FT sensor</t>
  </si>
  <si>
    <t>Tight connection properly &amp; turbine restored</t>
  </si>
  <si>
    <t>Anemometer replaced</t>
  </si>
  <si>
    <t>Replaced Carbon brush Micro switch &amp; turbine restored</t>
  </si>
  <si>
    <t>Replaced Pitch motor bearing &amp; Encoder</t>
  </si>
  <si>
    <t xml:space="preserve"> reset VCB &amp; B Phase relay replaced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</si>
</sst>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10" fontId="52" fillId="0" borderId="0" xfId="2" applyNumberFormat="1" applyFont="1" applyFill="1" applyAlignment="1">
      <alignment horizontal="center"/>
    </xf>
    <xf numFmtId="2" fontId="51" fillId="7" borderId="8" xfId="0" applyNumberFormat="1" applyFont="1" applyFill="1" applyBorder="1" applyAlignment="1">
      <alignment horizontal="center"/>
    </xf>
    <xf numFmtId="0" fontId="51" fillId="0" borderId="0" xfId="0" applyFont="1" applyAlignment="1">
      <alignment horizontal="left"/>
    </xf>
    <xf numFmtId="43" fontId="52" fillId="0" borderId="0" xfId="1" applyFont="1" applyAlignment="1">
      <alignment horizont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2Summary"/>
      <sheetName val="AnnualKPI"/>
      <sheetName val="MonthlyKPI"/>
      <sheetName val="Analytics"/>
      <sheetName val="Daily KPI"/>
      <sheetName val="Input_Raw"/>
      <sheetName val="Sheet1"/>
      <sheetName val="WTG_BD"/>
      <sheetName val="IGA_BD"/>
      <sheetName val="Grid_BD"/>
      <sheetName val="PM"/>
      <sheetName val="Basic Data"/>
      <sheetName val="WTG Reactive Power"/>
      <sheetName val="Meter Reading"/>
      <sheetName val="Modelling 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26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401" totalsRowShown="0" headerRowDxfId="192">
  <autoFilter ref="A1:AD401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97" totalsRowShown="0" headerRowDxfId="161" dataDxfId="159" headerRowBorderDxfId="160" headerRowCellStyle="Normal 26">
  <autoFilter ref="A1:Z1197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6" totalsRowShown="0" headerRowDxfId="132">
  <autoFilter ref="A1:AC16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abSelected="1" topLeftCell="A2" zoomScaleNormal="90" workbookViewId="0">
      <selection activeCell="D3" sqref="D3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9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63" t="s">
        <v>0</v>
      </c>
      <c r="B2" s="364"/>
      <c r="C2" s="364"/>
      <c r="D2" s="364"/>
      <c r="E2" s="364"/>
      <c r="F2" s="365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45866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6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1582.2550000000001</v>
      </c>
      <c r="E10" s="46">
        <f>D10/C10-1</f>
        <v>0.74855286497310614</v>
      </c>
      <c r="F10" s="193"/>
    </row>
    <row r="11" spans="1:18">
      <c r="A11" s="367"/>
      <c r="B11" s="47" t="s">
        <v>15</v>
      </c>
      <c r="C11" s="48">
        <f>MonthlyKPI!E4</f>
        <v>25337.032060898779</v>
      </c>
      <c r="D11" s="49">
        <f>MonthlyKPI!F4</f>
        <v>29646.362000000001</v>
      </c>
      <c r="E11" s="50">
        <f t="shared" ref="E11:E12" si="0">D11/C11-1</f>
        <v>0.17008029704282412</v>
      </c>
      <c r="F11" s="194"/>
    </row>
    <row r="12" spans="1:18" ht="15" thickBot="1">
      <c r="A12" s="368"/>
      <c r="B12" s="51" t="s">
        <v>16</v>
      </c>
      <c r="C12" s="52">
        <f>AnnualKPI!E4</f>
        <v>58621.98437861618</v>
      </c>
      <c r="D12" s="53">
        <f>AnnualKPI!F4</f>
        <v>75085.168000000005</v>
      </c>
      <c r="E12" s="54">
        <f t="shared" si="0"/>
        <v>0.28083634144921876</v>
      </c>
      <c r="F12" s="195"/>
    </row>
    <row r="13" spans="1:18">
      <c r="A13" s="366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13.031818181818181</v>
      </c>
      <c r="E13" s="46">
        <f>(D13-C13)/(C13)</f>
        <v>0.32661874942159985</v>
      </c>
      <c r="F13" s="193"/>
    </row>
    <row r="14" spans="1:18">
      <c r="A14" s="367"/>
      <c r="B14" s="47" t="s">
        <v>18</v>
      </c>
      <c r="C14" s="57">
        <f>MonthlyKPI!C4</f>
        <v>9.8233333333333324</v>
      </c>
      <c r="D14" s="103">
        <f>MonthlyKPI!D4</f>
        <v>9.6682629870129837</v>
      </c>
      <c r="E14" s="50">
        <f t="shared" ref="E14:E15" si="1">(D14-C14)/(C14)</f>
        <v>-1.5785919204650358E-2</v>
      </c>
      <c r="F14" s="196"/>
    </row>
    <row r="15" spans="1:18" ht="15" thickBot="1">
      <c r="A15" s="368"/>
      <c r="B15" s="51" t="s">
        <v>19</v>
      </c>
      <c r="C15" s="58">
        <f>AnnualKPI!C4</f>
        <v>6.2836120320091453</v>
      </c>
      <c r="D15" s="59">
        <f>AnnualKPI!D4</f>
        <v>7.197526737967916</v>
      </c>
      <c r="E15" s="54">
        <f t="shared" si="1"/>
        <v>0.14544416512401262</v>
      </c>
      <c r="F15" s="195"/>
    </row>
    <row r="16" spans="1:18">
      <c r="A16" s="366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0.98044622994538499</v>
      </c>
      <c r="E16" s="46">
        <f t="shared" ref="E16:E21" si="2">(D16-C16)/(C16)</f>
        <v>2.0979100224289352E-2</v>
      </c>
      <c r="F16" s="193"/>
    </row>
    <row r="17" spans="1:6">
      <c r="A17" s="367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0.98134893119326727</v>
      </c>
      <c r="E17" s="50">
        <f t="shared" si="2"/>
        <v>2.1919120267903092E-2</v>
      </c>
      <c r="F17" s="194"/>
    </row>
    <row r="18" spans="1:6" ht="15" thickBot="1">
      <c r="A18" s="368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0.97472987025001556</v>
      </c>
      <c r="E18" s="54">
        <f t="shared" si="2"/>
        <v>1.5026419087801345E-2</v>
      </c>
      <c r="F18" s="195"/>
    </row>
    <row r="19" spans="1:6">
      <c r="A19" s="360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61"/>
      <c r="B20" s="47" t="s">
        <v>24</v>
      </c>
      <c r="C20" s="62">
        <f>IFERROR(_xlfn.XLOOKUP($B$3,'Modelling New'!$D:$D,'Modelling New'!$AF:$AF),"")</f>
        <v>0.995</v>
      </c>
      <c r="D20" s="63">
        <f>MonthlyKPI!J4</f>
        <v>0.99907591826042474</v>
      </c>
      <c r="E20" s="50">
        <f t="shared" si="2"/>
        <v>4.0964002617334162E-3</v>
      </c>
      <c r="F20" s="194"/>
    </row>
    <row r="21" spans="1:6" ht="15" thickBot="1">
      <c r="A21" s="362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0.99422732832556238</v>
      </c>
      <c r="E21" s="54">
        <f t="shared" si="2"/>
        <v>-7.7655444667097434E-4</v>
      </c>
      <c r="F21" s="195"/>
    </row>
    <row r="22" spans="1:6">
      <c r="A22" s="360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0.99829900104167257</v>
      </c>
      <c r="E22" s="46">
        <f t="shared" ref="E22:E27" si="3">(D22-C22)/(C22)</f>
        <v>8.3828293350228112E-3</v>
      </c>
      <c r="F22" s="193"/>
    </row>
    <row r="23" spans="1:6">
      <c r="A23" s="361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0.98867348476715233</v>
      </c>
      <c r="E23" s="50">
        <f t="shared" si="3"/>
        <v>-1.3399143766137961E-3</v>
      </c>
      <c r="F23" s="194"/>
    </row>
    <row r="24" spans="1:6" ht="15" thickBot="1">
      <c r="A24" s="362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0.98421109449714217</v>
      </c>
      <c r="E24" s="54">
        <f t="shared" si="3"/>
        <v>-5.8473792958159817E-3</v>
      </c>
      <c r="F24" s="195"/>
    </row>
    <row r="25" spans="1:6">
      <c r="A25" s="360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0.98211680961549686</v>
      </c>
      <c r="E25" s="46">
        <f t="shared" si="3"/>
        <v>1.2491556304635961E-2</v>
      </c>
      <c r="F25" s="193"/>
    </row>
    <row r="26" spans="1:6">
      <c r="A26" s="361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0.98867348476715233</v>
      </c>
      <c r="E26" s="50">
        <f t="shared" si="3"/>
        <v>1.9251015223868413E-2</v>
      </c>
      <c r="F26" s="194"/>
    </row>
    <row r="27" spans="1:6" ht="15" thickBot="1">
      <c r="A27" s="362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0.98421109449714217</v>
      </c>
      <c r="E27" s="54">
        <f t="shared" si="3"/>
        <v>1.4650612883651749E-2</v>
      </c>
      <c r="F27" s="195"/>
    </row>
    <row r="28" spans="1:6">
      <c r="A28" s="360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0.93646721117424225</v>
      </c>
      <c r="E28" s="46">
        <f t="shared" ref="E28:E39" si="4">(D28-C28)/(C28)</f>
        <v>0.74855286497310558</v>
      </c>
      <c r="F28" s="193"/>
    </row>
    <row r="29" spans="1:6">
      <c r="A29" s="361"/>
      <c r="B29" s="47" t="s">
        <v>33</v>
      </c>
      <c r="C29" s="62">
        <f>MonthlyKPI!$G$4</f>
        <v>0.53556699939332164</v>
      </c>
      <c r="D29" s="63">
        <f>MonthlyKPI!$H$4</f>
        <v>0.62665639373647186</v>
      </c>
      <c r="E29" s="50">
        <f t="shared" si="4"/>
        <v>0.17008029704282426</v>
      </c>
      <c r="F29" s="194"/>
    </row>
    <row r="30" spans="1:6" ht="15" thickBot="1">
      <c r="A30" s="362"/>
      <c r="B30" s="51" t="s">
        <v>34</v>
      </c>
      <c r="C30" s="64">
        <f>AnnualKPI!$G$4</f>
        <v>0.29156114906922515</v>
      </c>
      <c r="D30" s="65">
        <f>AnnualKPI!$H$4</f>
        <v>0.37344211548255662</v>
      </c>
      <c r="E30" s="54">
        <f t="shared" si="4"/>
        <v>0.28083634144921876</v>
      </c>
      <c r="F30" s="195"/>
    </row>
    <row r="31" spans="1:6">
      <c r="A31" s="360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61"/>
      <c r="B32" s="47" t="s">
        <v>36</v>
      </c>
      <c r="C32" s="63">
        <f>_xlfn.XLOOKUP($B$3,'Modelling New'!$D:$D,'Modelling New'!AK:AK)</f>
        <v>0.05</v>
      </c>
      <c r="D32" s="63">
        <f>MonthlyKPI!$U$4</f>
        <v>7.9301644616082606E-18</v>
      </c>
      <c r="E32" s="50">
        <f t="shared" ref="E32:E33" si="5">-(D32-C32)/(C32)</f>
        <v>0.99999999999999989</v>
      </c>
      <c r="F32" s="194"/>
    </row>
    <row r="33" spans="1:6" ht="15" thickBot="1">
      <c r="A33" s="362"/>
      <c r="B33" s="51" t="s">
        <v>37</v>
      </c>
      <c r="C33" s="63">
        <f>_xlfn.XLOOKUP($B$3,'Modelling New'!$D:$D,'Modelling New'!AK:AK)</f>
        <v>0.05</v>
      </c>
      <c r="D33" s="65">
        <f>AnnualKPI!$R$4</f>
        <v>1.1195526298741075E-17</v>
      </c>
      <c r="E33" s="54">
        <f t="shared" si="5"/>
        <v>0.99999999999999978</v>
      </c>
      <c r="F33" s="195"/>
    </row>
    <row r="34" spans="1:6">
      <c r="A34" s="360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5.4383594616544111E-5</v>
      </c>
      <c r="E34" s="46">
        <f>-(D34-C34)/(C34)</f>
        <v>0.99891232810766917</v>
      </c>
      <c r="F34" s="193"/>
    </row>
    <row r="35" spans="1:6">
      <c r="A35" s="361"/>
      <c r="B35" s="47" t="s">
        <v>39</v>
      </c>
      <c r="C35" s="63">
        <f>_xlfn.XLOOKUP($B$3,'Modelling New'!$D:$D,'Modelling New'!$AL:$AL)</f>
        <v>0.05</v>
      </c>
      <c r="D35" s="188">
        <f>MonthlyKPI!$V$4</f>
        <v>1.8559319082077106E-4</v>
      </c>
      <c r="E35" s="50">
        <f>-(D35-C35)/(C35)</f>
        <v>0.99628813618358458</v>
      </c>
      <c r="F35" s="194"/>
    </row>
    <row r="36" spans="1:6" ht="15" thickBot="1">
      <c r="A36" s="362"/>
      <c r="B36" s="51" t="s">
        <v>40</v>
      </c>
      <c r="C36" s="63">
        <f>_xlfn.XLOOKUP($B$3,'Modelling New'!$D:$D,'Modelling New'!$AL:$AL)</f>
        <v>0.05</v>
      </c>
      <c r="D36" s="189">
        <f>AnnualKPI!$S$4</f>
        <v>1.6254199062871357E-4</v>
      </c>
      <c r="E36" s="54">
        <f>-(D36-C36)/(C36)</f>
        <v>0.99674916018742576</v>
      </c>
      <c r="F36" s="195"/>
    </row>
    <row r="37" spans="1:6">
      <c r="A37" s="360">
        <v>10</v>
      </c>
      <c r="B37" s="44" t="s">
        <v>41</v>
      </c>
      <c r="C37" s="45">
        <f>_xlfn.XLOOKUP($B$4,'Daily KPI'!$A:$A,'Daily KPI'!$AI:$AI)</f>
        <v>1643.41</v>
      </c>
      <c r="D37" s="45">
        <f>IFERROR(_xlfn.XLOOKUP($B$4,'Daily KPI'!$A:$A,'Daily KPI'!$X:$X)/1000,"")</f>
        <v>1582.2550000000001</v>
      </c>
      <c r="E37" s="46">
        <f t="shared" si="4"/>
        <v>-3.7212259874285766E-2</v>
      </c>
      <c r="F37" s="193"/>
    </row>
    <row r="38" spans="1:6">
      <c r="A38" s="361"/>
      <c r="B38" s="47" t="s">
        <v>42</v>
      </c>
      <c r="C38" s="48">
        <f>MonthlyKPI!$T$4</f>
        <v>29559.560000000005</v>
      </c>
      <c r="D38" s="48">
        <f>IFERROR(SUMIF('Daily KPI'!$D:$D,O2Summary!$B$3,'Daily KPI'!$X:$X)/1000,"")</f>
        <v>29646.362000000001</v>
      </c>
      <c r="E38" s="50">
        <f t="shared" si="4"/>
        <v>2.9365119101906804E-3</v>
      </c>
      <c r="F38" s="194"/>
    </row>
    <row r="39" spans="1:6" ht="15" thickBot="1">
      <c r="A39" s="362"/>
      <c r="B39" s="51" t="s">
        <v>43</v>
      </c>
      <c r="C39" s="52">
        <f>AnnualKPI!$Q$4</f>
        <v>75068.23</v>
      </c>
      <c r="D39" s="52">
        <f>IFERROR(SUMIFS('Daily KPI'!$X:$X,'Daily KPI'!$A:$A,"&gt;="&amp;O2Summary!$B$6,'Daily KPI'!$A:$A,"&lt;="&amp;O2Summary!$B$4)/1000,"")</f>
        <v>75085.168000000005</v>
      </c>
      <c r="E39" s="54">
        <f t="shared" si="4"/>
        <v>2.2563473256275254E-4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19:A21"/>
    <mergeCell ref="A2:F2"/>
    <mergeCell ref="A10:A12"/>
    <mergeCell ref="A13:A15"/>
    <mergeCell ref="A16:A18"/>
    <mergeCell ref="A31:A33"/>
    <mergeCell ref="A34:A36"/>
    <mergeCell ref="A37:A39"/>
    <mergeCell ref="A22:A24"/>
    <mergeCell ref="A28:A30"/>
    <mergeCell ref="A25:A27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08984375" customWidth="1"/>
  </cols>
  <sheetData>
    <row r="1" spans="1:19">
      <c r="A1" s="20" t="s">
        <v>45</v>
      </c>
      <c r="B1" s="21">
        <f>O2Summary!B4</f>
        <v>45866</v>
      </c>
      <c r="C1" s="153">
        <f>O2Summary!B3</f>
        <v>45839</v>
      </c>
    </row>
    <row r="2" spans="1:19" ht="21">
      <c r="A2" s="369" t="s">
        <v>46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119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7.197526737967916</v>
      </c>
      <c r="E4" s="157">
        <f>_xlfn.XLOOKUP($C$1,'Modelling New'!$D:$D,'Modelling New'!$V:$V)</f>
        <v>58621.98437861618</v>
      </c>
      <c r="F4" s="160">
        <f>SUMIFS('Daily KPI'!$AA:$AA,'Daily KPI'!$A:$A,"&gt;="&amp;O2Summary!$B$6,'Daily KPI'!$A:$A,"&lt;="&amp;AnnualKPI!$B$1)/1000</f>
        <v>75085.168000000005</v>
      </c>
      <c r="G4" s="161">
        <f>_xlfn.XLOOKUP($C$1,'Modelling New'!$D:$D,'Modelling New'!$Y:$Y)</f>
        <v>0.29156114906922515</v>
      </c>
      <c r="H4" s="162">
        <f>IFERROR(F4/(B4*24*'Basic Data'!$L$2),"")</f>
        <v>0.37344211548255662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0.99422732832556238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0.99036667611233264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0.98421109449714217</v>
      </c>
      <c r="O4" s="161">
        <f>K4*M4</f>
        <v>0.96029999999999993</v>
      </c>
      <c r="P4" s="163">
        <f>L4*N4</f>
        <v>0.97472987025001556</v>
      </c>
      <c r="Q4" s="160">
        <f>SUMIFS('Daily KPI'!$AI:$AI,'Daily KPI'!$A:$A,"&gt;="&amp;O2Summary!$B$6,'Daily KPI'!$A:$A,"&lt;="&amp;AnnualKPI!$B$1)</f>
        <v>75068.23</v>
      </c>
      <c r="R4" s="163">
        <f>AVERAGEIFS('Daily KPI'!AN:AN,'Daily KPI'!$A:$A,"&gt;="&amp;O2Summary!$B$6,'Daily KPI'!$A:$A,"&lt;="&amp;AnnualKPI!$B$1)</f>
        <v>1.1195526298741075E-17</v>
      </c>
      <c r="S4" s="163">
        <f>AVERAGEIFS('Daily KPI'!AO:AO,'Daily KPI'!$A:$A,"&gt;="&amp;O2Summary!$B$6,'Daily KPI'!$A:$A,"&lt;="&amp;AnnualKPI!$B$1)</f>
        <v>1.6254199062871357E-4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45866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71" t="s">
        <v>66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28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9.6682629870129837</v>
      </c>
      <c r="E4" s="157">
        <f>IFERROR(_xlfn.XLOOKUP($A$4,'Modelling New'!$D:$D,'Modelling New'!$U:$U),"")</f>
        <v>25337.032060898779</v>
      </c>
      <c r="F4" s="160">
        <f>IFERROR(SUMIFS('Daily KPI'!$AA:$AA,'Daily KPI'!$D:$D,$A$4)/1000,"")</f>
        <v>29646.362000000001</v>
      </c>
      <c r="G4" s="161">
        <f>IFERROR(_xlfn.XLOOKUP($A$4,'Modelling New'!$D:$D,'Modelling New'!X:X),"")</f>
        <v>0.53556699939332164</v>
      </c>
      <c r="H4" s="162">
        <f>F4/(24*B4*'Basic Data'!$L$2)</f>
        <v>0.62665639373647186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0.99907591826042474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0.99259153432681557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0.98867348476715233</v>
      </c>
      <c r="O4" s="161">
        <f>IFERROR(_xlfn.XLOOKUP($A$4,'Modelling New'!$D:$D,'Modelling New'!$AE:$AE),"")</f>
        <v>0.96029999999999993</v>
      </c>
      <c r="P4" s="163">
        <f>L4*N4</f>
        <v>0.98134893119326727</v>
      </c>
      <c r="Q4" s="157">
        <f>SUMIFS('Daily KPI'!$X:$X,'Daily KPI'!$D:$D,$A$4)/1000</f>
        <v>29646.362000000001</v>
      </c>
      <c r="R4" s="163">
        <f>Q4/F4-1</f>
        <v>0</v>
      </c>
      <c r="S4" s="157">
        <f>SUMIFS(Input_Raw!DP:DP,Input_Raw!A:A,"&gt;="&amp;A4,Input_Raw!A:A,"&lt;="&amp;B1)</f>
        <v>29559.560000000005</v>
      </c>
      <c r="T4" s="160">
        <f>SUMIFS('Daily KPI'!$AI:$AI,'Daily KPI'!$D:$D,$A$4)</f>
        <v>29559.560000000005</v>
      </c>
      <c r="U4" s="162">
        <f>AVERAGEIFS('Daily KPI'!$AN:$AN,'Daily KPI'!$A:$A,"&lt;="&amp;MonthlyKPI!$B$1,'Daily KPI'!$D:$D,$A$4)</f>
        <v>7.9301644616082606E-18</v>
      </c>
      <c r="V4" s="162">
        <f>AVERAGEIFS('Daily KPI'!$AO:$AO,'Daily KPI'!$A:$A,"&lt;="&amp;MonthlyKPI!$B$1,'Daily KPI'!$D:$D,$A$4)</f>
        <v>1.8559319082077106E-4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45860</v>
      </c>
      <c r="D7" s="24"/>
      <c r="F7" s="24"/>
    </row>
    <row r="8" spans="1:22" ht="29.15" customHeight="1">
      <c r="A8" s="20" t="s">
        <v>72</v>
      </c>
      <c r="B8" s="21">
        <f>B1</f>
        <v>45866</v>
      </c>
    </row>
    <row r="9" spans="1:22" ht="29.15" customHeight="1">
      <c r="A9" s="371" t="s">
        <v>73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11.264253246753245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8737.5859999999993</v>
      </c>
      <c r="G11" s="161">
        <f>E11/(24*$B$11*'Basic Data'!$L$2)</f>
        <v>0.53556699939332175</v>
      </c>
      <c r="H11" s="162">
        <f>F11/(24*B11*'Basic Data'!$L$2)</f>
        <v>0.73877046130952373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0.99630367304169931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0.98535474294680747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0.9697346758595432</v>
      </c>
      <c r="O11" s="161">
        <f>IFERROR(_xlfn.XLOOKUP($A$11,'Modelling New'!$D:$D,'Modelling New'!$AE:$AE),"")</f>
        <v>0.96029999999999993</v>
      </c>
      <c r="P11" s="163">
        <f>L11*N11</f>
        <v>0.95553266225818589</v>
      </c>
      <c r="Q11" s="157">
        <f>SUMIFS(Input_Raw!DP:DP,Input_Raw!A:A,"&gt;="&amp;B7,Input_Raw!A:A,"&lt;="&amp;B8)</f>
        <v>8901.66</v>
      </c>
      <c r="R11"/>
    </row>
    <row r="14" spans="1:22" ht="29.15" customHeight="1">
      <c r="A14" s="20" t="s">
        <v>71</v>
      </c>
      <c r="B14" s="21">
        <f>B15-29</f>
        <v>45837</v>
      </c>
      <c r="D14" s="24"/>
      <c r="F14" s="24"/>
    </row>
    <row r="15" spans="1:22" ht="29.15" customHeight="1">
      <c r="A15" s="20" t="s">
        <v>72</v>
      </c>
      <c r="B15" s="21">
        <f>B8</f>
        <v>45866</v>
      </c>
    </row>
    <row r="16" spans="1:22" ht="29.15" customHeight="1">
      <c r="A16" s="371" t="s">
        <v>74</v>
      </c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  <c r="O16" s="372"/>
      <c r="P16" s="372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9.787590909090909</v>
      </c>
      <c r="E18" s="157">
        <f>SUMIFS('Daily KPI'!$AD:$AD,'Daily KPI'!$A:$A,"&gt;="&amp;$B$14,'Daily KPI'!$A:$A,"&lt;="&amp;$B$15)/1000</f>
        <v>26376.571255412098</v>
      </c>
      <c r="F18" s="160">
        <f>SUMIFS('Daily KPI'!$AA:$AA,'Daily KPI'!$A:$A,"&gt;="&amp;$B$14,'Daily KPI'!$A:$A,"&lt;="&amp;$B$15)/1000</f>
        <v>32516.916000000001</v>
      </c>
      <c r="G18" s="161">
        <f>E18/(24*$B$18*'Basic Data'!$L$2)</f>
        <v>0.52037111851744189</v>
      </c>
      <c r="H18" s="162">
        <f>F18/(24*B18*'Basic Data'!$L$2)</f>
        <v>0.6415111268939393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0.99227364082112601</v>
      </c>
      <c r="M18" s="161">
        <v>0.995</v>
      </c>
      <c r="N18" s="162">
        <f>AVERAGEIFS('Daily KPI'!$Q:$Q,'Daily KPI'!$A:$A,"&gt;="&amp;$B$14,'Daily KPI'!$A:$A,"&lt;="&amp;$B$15)</f>
        <v>0.98918360875705491</v>
      </c>
      <c r="O18" s="161">
        <f>K18*M18</f>
        <v>0.98107</v>
      </c>
      <c r="P18" s="163">
        <f>L18*N18</f>
        <v>0.98154082090194317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45839</v>
      </c>
    </row>
    <row r="3" spans="1:46" ht="29.15" customHeight="1">
      <c r="A3" s="83" t="s">
        <v>72</v>
      </c>
      <c r="B3" s="84">
        <f>O2Summary!B4</f>
        <v>45866</v>
      </c>
      <c r="C3">
        <f>((B3-B2)*1)*24</f>
        <v>648</v>
      </c>
      <c r="D3" s="75">
        <f>MEDIAN(B21:X21)</f>
        <v>9.4967857142857177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0.97474279835390942</v>
      </c>
      <c r="E5" s="169">
        <f t="shared" si="0"/>
        <v>0.97402263374485587</v>
      </c>
      <c r="F5" s="169">
        <f t="shared" si="0"/>
        <v>0.99989711934156367</v>
      </c>
      <c r="G5" s="169">
        <f t="shared" si="0"/>
        <v>0.97469135802469142</v>
      </c>
      <c r="H5" s="169">
        <f t="shared" si="0"/>
        <v>0.9897633744855967</v>
      </c>
      <c r="I5" s="169">
        <f t="shared" si="0"/>
        <v>0.9945987654320988</v>
      </c>
      <c r="J5" s="169">
        <f t="shared" si="0"/>
        <v>0.99809670781893001</v>
      </c>
      <c r="K5" s="169">
        <f t="shared" si="0"/>
        <v>0.98963477366255137</v>
      </c>
      <c r="L5" s="169">
        <f t="shared" si="0"/>
        <v>0.99521604938271602</v>
      </c>
      <c r="M5" s="169">
        <f t="shared" si="0"/>
        <v>0.99837962962962967</v>
      </c>
      <c r="N5" s="169">
        <f t="shared" si="0"/>
        <v>0.98523662551440316</v>
      </c>
      <c r="O5" s="169">
        <f t="shared" si="0"/>
        <v>1</v>
      </c>
      <c r="P5" s="169">
        <f t="shared" si="0"/>
        <v>0.99745370370370379</v>
      </c>
      <c r="Q5" s="169">
        <f t="shared" si="0"/>
        <v>1</v>
      </c>
      <c r="R5" s="169">
        <f t="shared" si="0"/>
        <v>0.99909979423868311</v>
      </c>
      <c r="S5" s="169">
        <f t="shared" si="0"/>
        <v>0.99992283950617289</v>
      </c>
      <c r="T5" s="169">
        <f t="shared" si="0"/>
        <v>0.97157921810699599</v>
      </c>
      <c r="U5" s="169">
        <f t="shared" si="0"/>
        <v>0.99650205761316879</v>
      </c>
      <c r="V5" s="169">
        <f t="shared" si="0"/>
        <v>0.9946244855967078</v>
      </c>
      <c r="W5" s="169">
        <f t="shared" si="0"/>
        <v>0.98083847736625518</v>
      </c>
      <c r="X5" s="169">
        <f t="shared" si="0"/>
        <v>0.99881687242798356</v>
      </c>
      <c r="Y5" s="169">
        <f t="shared" si="0"/>
        <v>0.98870884773662548</v>
      </c>
      <c r="Z5" s="169">
        <f t="shared" si="0"/>
        <v>0.99742798353909468</v>
      </c>
      <c r="AA5" s="169">
        <f t="shared" si="0"/>
        <v>1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0.99385288065843624</v>
      </c>
      <c r="AE5" s="169">
        <f t="shared" si="0"/>
        <v>0.99284979423868314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0.99866255144032923</v>
      </c>
      <c r="AI5" s="169">
        <f t="shared" si="0"/>
        <v>0.99789094650205756</v>
      </c>
      <c r="AJ5" s="169">
        <f t="shared" si="0"/>
        <v>0.9956532921810699</v>
      </c>
      <c r="AK5" s="169">
        <f t="shared" si="0"/>
        <v>0.99675925925925923</v>
      </c>
      <c r="AL5" s="169">
        <f t="shared" si="0"/>
        <v>0.99930555555555545</v>
      </c>
      <c r="AM5" s="169">
        <f t="shared" si="0"/>
        <v>0.99673353909465023</v>
      </c>
      <c r="AN5" s="169">
        <f t="shared" si="0"/>
        <v>0.999022633744856</v>
      </c>
      <c r="AO5" s="169">
        <f t="shared" si="0"/>
        <v>0.99933127572016467</v>
      </c>
      <c r="AP5" s="169">
        <f t="shared" si="0"/>
        <v>0.99889403292181067</v>
      </c>
      <c r="AQ5" s="169">
        <f t="shared" si="0"/>
        <v>0.99354423868312769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0.9935337167976056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16.366666666666664</v>
      </c>
      <c r="E6" s="171">
        <f>(SUMIFS(WTG_BD!$T:$T,WTG_BD!$G:$G,Analytics!E$4,WTG_BD!$F:$F,"&gt;="&amp;Analytics!$B$2,WTG_BD!$F:$F,"&lt;="&amp;Analytics!$B$3))</f>
        <v>16.833333333333329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16.399999999999995</v>
      </c>
      <c r="H6" s="171">
        <f>(SUMIFS(WTG_BD!$T:$T,WTG_BD!$G:$G,Analytics!H$4,WTG_BD!$F:$F,"&gt;="&amp;Analytics!$B$2,WTG_BD!$F:$F,"&lt;="&amp;Analytics!$B$3))</f>
        <v>6.6333333333333337</v>
      </c>
      <c r="I6" s="171">
        <f>(SUMIFS(WTG_BD!$T:$T,WTG_BD!$G:$G,Analytics!I$4,WTG_BD!$F:$F,"&gt;="&amp;Analytics!$B$2,WTG_BD!$F:$F,"&lt;="&amp;Analytics!$B$3))</f>
        <v>3.5</v>
      </c>
      <c r="J6" s="171">
        <f>(SUMIFS(WTG_BD!$T:$T,WTG_BD!$G:$G,Analytics!J$4,WTG_BD!$F:$F,"&gt;="&amp;Analytics!$B$2,WTG_BD!$F:$F,"&lt;="&amp;Analytics!$B$3))</f>
        <v>1.2333333333333316</v>
      </c>
      <c r="K6" s="171">
        <f>(SUMIFS(WTG_BD!$T:$T,WTG_BD!$G:$G,Analytics!K$4,WTG_BD!$F:$F,"&gt;="&amp;Analytics!$B$2,WTG_BD!$F:$F,"&lt;="&amp;Analytics!$B$3))</f>
        <v>6.7166666666666641</v>
      </c>
      <c r="L6" s="171">
        <f>(SUMIFS(WTG_BD!$T:$T,WTG_BD!$G:$G,Analytics!L$4,WTG_BD!$F:$F,"&gt;="&amp;Analytics!$B$2,WTG_BD!$F:$F,"&lt;="&amp;Analytics!$B$3))</f>
        <v>3.0999999999999965</v>
      </c>
      <c r="M6" s="171">
        <f>(SUMIFS(WTG_BD!$T:$T,WTG_BD!$G:$G,Analytics!M$4,WTG_BD!$F:$F,"&gt;="&amp;Analytics!$B$2,WTG_BD!$F:$F,"&lt;="&amp;Analytics!$B$3))</f>
        <v>1.0500000000000016</v>
      </c>
      <c r="N6" s="171">
        <f>(SUMIFS(WTG_BD!$T:$T,WTG_BD!$G:$G,Analytics!N$4,WTG_BD!$F:$F,"&gt;="&amp;Analytics!$B$2,WTG_BD!$F:$F,"&lt;="&amp;Analytics!$B$3))</f>
        <v>9.5666666666666664</v>
      </c>
      <c r="O6" s="171">
        <f>(SUMIFS(WTG_BD!$T:$T,WTG_BD!$G:$G,Analytics!O$4,WTG_BD!$F:$F,"&gt;="&amp;Analytics!$B$2,WTG_BD!$F:$F,"&lt;="&amp;Analytics!$B$3))</f>
        <v>0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0</v>
      </c>
      <c r="R6" s="171">
        <f>(SUMIFS(WTG_BD!$T:$T,WTG_BD!$G:$G,Analytics!R$4,WTG_BD!$F:$F,"&gt;="&amp;Analytics!$B$2,WTG_BD!$F:$F,"&lt;="&amp;Analytics!$B$3))</f>
        <v>0.58333333333333126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18.416666666666664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3.4833333333333316</v>
      </c>
      <c r="W6" s="171">
        <f>(SUMIFS(WTG_BD!$T:$T,WTG_BD!$G:$G,Analytics!W$4,WTG_BD!$F:$F,"&gt;="&amp;Analytics!$B$2,WTG_BD!$F:$F,"&lt;="&amp;Analytics!$B$3))</f>
        <v>12.416666666666668</v>
      </c>
      <c r="X6" s="171">
        <f>(SUMIFS(WTG_BD!$T:$T,WTG_BD!$G:$G,Analytics!X$4,WTG_BD!$F:$F,"&gt;="&amp;Analytics!$B$2,WTG_BD!$F:$F,"&lt;="&amp;Analytics!$B$3))</f>
        <v>0.76666666666666661</v>
      </c>
      <c r="Y6" s="171">
        <f>(SUMIFS(WTG_BD!$T:$T,WTG_BD!$G:$G,Analytics!Y$4,WTG_BD!$F:$F,"&gt;="&amp;Analytics!$B$2,WTG_BD!$F:$F,"&lt;="&amp;Analytics!$B$3))</f>
        <v>7.3166666666666673</v>
      </c>
      <c r="Z6" s="171">
        <f>(SUMIFS(WTG_BD!$T:$T,WTG_BD!$G:$G,Analytics!Z$4,WTG_BD!$F:$F,"&gt;="&amp;Analytics!$B$2,WTG_BD!$F:$F,"&lt;="&amp;Analytics!$B$3))</f>
        <v>1.6666666666666687</v>
      </c>
      <c r="AA6" s="171">
        <f>(SUMIFS(WTG_BD!$T:$T,WTG_BD!$G:$G,Analytics!AA$4,WTG_BD!$F:$F,"&gt;="&amp;Analytics!$B$2,WTG_BD!$F:$F,"&lt;="&amp;Analytics!$B$3))</f>
        <v>0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3.9833333333333325</v>
      </c>
      <c r="AE6" s="171">
        <f>(SUMIFS(WTG_BD!$T:$T,WTG_BD!$G:$G,Analytics!AE$4,WTG_BD!$F:$F,"&gt;="&amp;Analytics!$B$2,WTG_BD!$F:$F,"&lt;="&amp;Analytics!$B$3))</f>
        <v>4.6333333333333311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0.86666666666666892</v>
      </c>
      <c r="AI6" s="171">
        <f>(SUMIFS(WTG_BD!$T:$T,WTG_BD!$G:$G,Analytics!AI$4,WTG_BD!$F:$F,"&gt;="&amp;Analytics!$B$2,WTG_BD!$F:$F,"&lt;="&amp;Analytics!$B$3))</f>
        <v>1.3666666666666698</v>
      </c>
      <c r="AJ6" s="171">
        <f>(SUMIFS(WTG_BD!$T:$T,WTG_BD!$G:$G,Analytics!AJ$4,WTG_BD!$F:$F,"&gt;="&amp;Analytics!$B$2,WTG_BD!$F:$F,"&lt;="&amp;Analytics!$B$3))</f>
        <v>2.8166666666666673</v>
      </c>
      <c r="AK6" s="171">
        <f>(SUMIFS(WTG_BD!$T:$T,WTG_BD!$G:$G,Analytics!AK$4,WTG_BD!$F:$F,"&gt;="&amp;Analytics!$B$2,WTG_BD!$F:$F,"&lt;="&amp;Analytics!$B$3))</f>
        <v>2.1000000000000032</v>
      </c>
      <c r="AL6" s="171">
        <f>(SUMIFS(WTG_BD!$T:$T,WTG_BD!$G:$G,Analytics!AL$4,WTG_BD!$F:$F,"&gt;="&amp;Analytics!$B$2,WTG_BD!$F:$F,"&lt;="&amp;Analytics!$B$3))</f>
        <v>0.44999999999999973</v>
      </c>
      <c r="AM6" s="171">
        <f>(SUMIFS(WTG_BD!$T:$T,WTG_BD!$G:$G,Analytics!AM$4,WTG_BD!$F:$F,"&gt;="&amp;Analytics!$B$2,WTG_BD!$F:$F,"&lt;="&amp;Analytics!$B$3))</f>
        <v>2.1166666666666671</v>
      </c>
      <c r="AN6" s="171">
        <f>(SUMIFS(WTG_BD!$T:$T,WTG_BD!$G:$G,Analytics!AN$4,WTG_BD!$F:$F,"&gt;="&amp;Analytics!$B$2,WTG_BD!$F:$F,"&lt;="&amp;Analytics!$B$3))</f>
        <v>0.63333333333333242</v>
      </c>
      <c r="AO6" s="171">
        <f>(SUMIFS(WTG_BD!$T:$T,WTG_BD!$G:$G,Analytics!AO$4,WTG_BD!$F:$F,"&gt;="&amp;Analytics!$B$2,WTG_BD!$F:$F,"&lt;="&amp;Analytics!$B$3))</f>
        <v>0.43333333333333446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4.1833333333333318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0.9804526748971194</v>
      </c>
      <c r="C7" s="172">
        <f t="shared" ref="C7:AS7" si="1">($C$3-SUM(C8:C12))/$C$3</f>
        <v>0.9804526748971194</v>
      </c>
      <c r="D7" s="172">
        <f t="shared" si="1"/>
        <v>0.9804526748971194</v>
      </c>
      <c r="E7" s="172">
        <f t="shared" si="1"/>
        <v>0.99786522633744856</v>
      </c>
      <c r="F7" s="172">
        <f t="shared" si="1"/>
        <v>0.99768518518518523</v>
      </c>
      <c r="G7" s="172">
        <f t="shared" si="1"/>
        <v>0.99768518518518523</v>
      </c>
      <c r="H7" s="172">
        <f t="shared" si="1"/>
        <v>0.9804526748971194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0.99786522633744856</v>
      </c>
      <c r="P7" s="172">
        <f t="shared" si="1"/>
        <v>0.99786522633744856</v>
      </c>
      <c r="Q7" s="172">
        <f t="shared" si="1"/>
        <v>0.99786522633744856</v>
      </c>
      <c r="R7" s="172">
        <f t="shared" si="1"/>
        <v>0.99786522633744856</v>
      </c>
      <c r="S7" s="172">
        <f t="shared" si="1"/>
        <v>0.9804526748971194</v>
      </c>
      <c r="T7" s="172">
        <f t="shared" si="1"/>
        <v>0.99786522633744856</v>
      </c>
      <c r="U7" s="172">
        <f t="shared" si="1"/>
        <v>0.99786522633744856</v>
      </c>
      <c r="V7" s="172">
        <f t="shared" si="1"/>
        <v>0.99786522633744856</v>
      </c>
      <c r="W7" s="172">
        <f t="shared" si="1"/>
        <v>0.99786522633744856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0.9804526748971194</v>
      </c>
      <c r="AC7" s="172">
        <f t="shared" si="1"/>
        <v>0.9804526748971194</v>
      </c>
      <c r="AD7" s="172">
        <f t="shared" si="1"/>
        <v>0.99786522633744856</v>
      </c>
      <c r="AE7" s="172">
        <f t="shared" si="1"/>
        <v>0.9804526748971194</v>
      </c>
      <c r="AF7" s="172">
        <f t="shared" si="1"/>
        <v>0.99786522633744856</v>
      </c>
      <c r="AG7" s="172">
        <f t="shared" si="1"/>
        <v>0.99768518518518523</v>
      </c>
      <c r="AH7" s="172">
        <f t="shared" si="1"/>
        <v>0.99768518518518523</v>
      </c>
      <c r="AI7" s="172">
        <f t="shared" si="1"/>
        <v>0.99768518518518523</v>
      </c>
      <c r="AJ7" s="172">
        <f t="shared" si="1"/>
        <v>0.99786522633744856</v>
      </c>
      <c r="AK7" s="172">
        <f t="shared" si="1"/>
        <v>0.99768518518518523</v>
      </c>
      <c r="AL7" s="172">
        <f t="shared" si="1"/>
        <v>0.99768518518518523</v>
      </c>
      <c r="AM7" s="172">
        <f t="shared" si="1"/>
        <v>0.99768518518518523</v>
      </c>
      <c r="AN7" s="172">
        <f t="shared" si="1"/>
        <v>0.99768518518518523</v>
      </c>
      <c r="AO7" s="172">
        <f t="shared" si="1"/>
        <v>0.9804526748971194</v>
      </c>
      <c r="AP7" s="172">
        <f t="shared" si="1"/>
        <v>0.9804526748971194</v>
      </c>
      <c r="AQ7" s="172">
        <f t="shared" si="1"/>
        <v>0.9804526748971194</v>
      </c>
      <c r="AR7" s="172">
        <f t="shared" si="1"/>
        <v>0.9804526748971194</v>
      </c>
      <c r="AS7" s="172">
        <f t="shared" si="1"/>
        <v>0.9804526748971194</v>
      </c>
      <c r="AT7" s="85">
        <f t="shared" ref="AT7:AT21" si="2">AVERAGE(B7:AS7)</f>
        <v>0.993168958099514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12.666666666666668</v>
      </c>
      <c r="C9" s="267">
        <f>SUMIFS(IGA_BD!$Q:$Q,IGA_BD!$G:$G,(VLOOKUP(C$4,'Basic Data'!$A:$F,6,0)),IGA_BD!$F:$F,"&gt;="&amp;Analytics!$B$2,IGA_BD!$F:$F,"&lt;="&amp;Analytics!$B$3)</f>
        <v>12.666666666666668</v>
      </c>
      <c r="D9" s="267">
        <f>SUMIFS(IGA_BD!$Q:$Q,IGA_BD!$G:$G,(VLOOKUP(D$4,'Basic Data'!$A:$F,6,0)),IGA_BD!$F:$F,"&gt;="&amp;Analytics!$B$2,IGA_BD!$F:$F,"&lt;="&amp;Analytics!$B$3)</f>
        <v>12.666666666666668</v>
      </c>
      <c r="E9" s="267">
        <f>SUMIFS(IGA_BD!$Q:$Q,IGA_BD!$G:$G,(VLOOKUP(E$4,'Basic Data'!$A:$F,6,0)),IGA_BD!$F:$F,"&gt;="&amp;Analytics!$B$2,IGA_BD!$F:$F,"&lt;="&amp;Analytics!$B$3)</f>
        <v>1.3833333333333337</v>
      </c>
      <c r="F9" s="267">
        <f>SUMIFS(IGA_BD!$Q:$Q,IGA_BD!$G:$G,(VLOOKUP(F$4,'Basic Data'!$A:$F,6,0)),IGA_BD!$F:$F,"&gt;="&amp;Analytics!$B$2,IGA_BD!$F:$F,"&lt;="&amp;Analytics!$B$3)</f>
        <v>1.5000000000000013</v>
      </c>
      <c r="G9" s="267">
        <f>SUMIFS(IGA_BD!$Q:$Q,IGA_BD!$G:$G,(VLOOKUP(G$4,'Basic Data'!$A:$F,6,0)),IGA_BD!$F:$F,"&gt;="&amp;Analytics!$B$2,IGA_BD!$F:$F,"&lt;="&amp;Analytics!$B$3)</f>
        <v>1.5000000000000013</v>
      </c>
      <c r="H9" s="267">
        <f>SUMIFS(IGA_BD!$Q:$Q,IGA_BD!$G:$G,(VLOOKUP(H$4,'Basic Data'!$A:$F,6,0)),IGA_BD!$F:$F,"&gt;="&amp;Analytics!$B$2,IGA_BD!$F:$F,"&lt;="&amp;Analytics!$B$3)</f>
        <v>12.666666666666668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1.3833333333333337</v>
      </c>
      <c r="P9" s="267">
        <f>SUMIFS(IGA_BD!$Q:$Q,IGA_BD!$G:$G,(VLOOKUP(P$4,'Basic Data'!$A:$F,6,0)),IGA_BD!$F:$F,"&gt;="&amp;Analytics!$B$2,IGA_BD!$F:$F,"&lt;="&amp;Analytics!$B$3)</f>
        <v>1.3833333333333337</v>
      </c>
      <c r="Q9" s="267">
        <f>SUMIFS(IGA_BD!$Q:$Q,IGA_BD!$G:$G,(VLOOKUP(Q$4,'Basic Data'!$A:$F,6,0)),IGA_BD!$F:$F,"&gt;="&amp;Analytics!$B$2,IGA_BD!$F:$F,"&lt;="&amp;Analytics!$B$3)</f>
        <v>1.3833333333333337</v>
      </c>
      <c r="R9" s="267">
        <f>SUMIFS(IGA_BD!$Q:$Q,IGA_BD!$G:$G,(VLOOKUP(R$4,'Basic Data'!$A:$F,6,0)),IGA_BD!$F:$F,"&gt;="&amp;Analytics!$B$2,IGA_BD!$F:$F,"&lt;="&amp;Analytics!$B$3)</f>
        <v>1.3833333333333337</v>
      </c>
      <c r="S9" s="267">
        <f>SUMIFS(IGA_BD!$Q:$Q,IGA_BD!$G:$G,(VLOOKUP(S$4,'Basic Data'!$A:$F,6,0)),IGA_BD!$F:$F,"&gt;="&amp;Analytics!$B$2,IGA_BD!$F:$F,"&lt;="&amp;Analytics!$B$3)</f>
        <v>12.666666666666668</v>
      </c>
      <c r="T9" s="267">
        <f>SUMIFS(IGA_BD!$Q:$Q,IGA_BD!$G:$G,(VLOOKUP(T$4,'Basic Data'!$A:$F,6,0)),IGA_BD!$F:$F,"&gt;="&amp;Analytics!$B$2,IGA_BD!$F:$F,"&lt;="&amp;Analytics!$B$3)</f>
        <v>1.3833333333333337</v>
      </c>
      <c r="U9" s="267">
        <f>SUMIFS(IGA_BD!$Q:$Q,IGA_BD!$G:$G,(VLOOKUP(U$4,'Basic Data'!$A:$F,6,0)),IGA_BD!$F:$F,"&gt;="&amp;Analytics!$B$2,IGA_BD!$F:$F,"&lt;="&amp;Analytics!$B$3)</f>
        <v>1.3833333333333337</v>
      </c>
      <c r="V9" s="267">
        <f>SUMIFS(IGA_BD!$Q:$Q,IGA_BD!$G:$G,(VLOOKUP(V$4,'Basic Data'!$A:$F,6,0)),IGA_BD!$F:$F,"&gt;="&amp;Analytics!$B$2,IGA_BD!$F:$F,"&lt;="&amp;Analytics!$B$3)</f>
        <v>1.3833333333333337</v>
      </c>
      <c r="W9" s="267">
        <f>SUMIFS(IGA_BD!$Q:$Q,IGA_BD!$G:$G,(VLOOKUP(W$4,'Basic Data'!$A:$F,6,0)),IGA_BD!$F:$F,"&gt;="&amp;Analytics!$B$2,IGA_BD!$F:$F,"&lt;="&amp;Analytics!$B$3)</f>
        <v>1.3833333333333337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12.666666666666668</v>
      </c>
      <c r="AC9" s="267">
        <f>SUMIFS(IGA_BD!$Q:$Q,IGA_BD!$G:$G,(VLOOKUP(AC$4,'Basic Data'!$A:$F,6,0)),IGA_BD!$F:$F,"&gt;="&amp;Analytics!$B$2,IGA_BD!$F:$F,"&lt;="&amp;Analytics!$B$3)</f>
        <v>12.666666666666668</v>
      </c>
      <c r="AD9" s="267">
        <f>SUMIFS(IGA_BD!$Q:$Q,IGA_BD!$G:$G,(VLOOKUP(AD$4,'Basic Data'!$A:$F,6,0)),IGA_BD!$F:$F,"&gt;="&amp;Analytics!$B$2,IGA_BD!$F:$F,"&lt;="&amp;Analytics!$B$3)</f>
        <v>1.3833333333333337</v>
      </c>
      <c r="AE9" s="267">
        <f>SUMIFS(IGA_BD!$Q:$Q,IGA_BD!$G:$G,(VLOOKUP(AE$4,'Basic Data'!$A:$F,6,0)),IGA_BD!$F:$F,"&gt;="&amp;Analytics!$B$2,IGA_BD!$F:$F,"&lt;="&amp;Analytics!$B$3)</f>
        <v>12.666666666666668</v>
      </c>
      <c r="AF9" s="267">
        <f>SUMIFS(IGA_BD!$Q:$Q,IGA_BD!$G:$G,(VLOOKUP(AF$4,'Basic Data'!$A:$F,6,0)),IGA_BD!$F:$F,"&gt;="&amp;Analytics!$B$2,IGA_BD!$F:$F,"&lt;="&amp;Analytics!$B$3)</f>
        <v>1.3833333333333337</v>
      </c>
      <c r="AG9" s="267">
        <f>SUMIFS(IGA_BD!$Q:$Q,IGA_BD!$G:$G,(VLOOKUP(AG$4,'Basic Data'!$A:$F,6,0)),IGA_BD!$F:$F,"&gt;="&amp;Analytics!$B$2,IGA_BD!$F:$F,"&lt;="&amp;Analytics!$B$3)</f>
        <v>1.5000000000000013</v>
      </c>
      <c r="AH9" s="267">
        <f>SUMIFS(IGA_BD!$Q:$Q,IGA_BD!$G:$G,(VLOOKUP(AH$4,'Basic Data'!$A:$F,6,0)),IGA_BD!$F:$F,"&gt;="&amp;Analytics!$B$2,IGA_BD!$F:$F,"&lt;="&amp;Analytics!$B$3)</f>
        <v>1.5000000000000013</v>
      </c>
      <c r="AI9" s="267">
        <f>SUMIFS(IGA_BD!$Q:$Q,IGA_BD!$G:$G,(VLOOKUP(AI$4,'Basic Data'!$A:$F,6,0)),IGA_BD!$F:$F,"&gt;="&amp;Analytics!$B$2,IGA_BD!$F:$F,"&lt;="&amp;Analytics!$B$3)</f>
        <v>1.5000000000000013</v>
      </c>
      <c r="AJ9" s="267">
        <f>SUMIFS(IGA_BD!$Q:$Q,IGA_BD!$G:$G,(VLOOKUP(AJ$4,'Basic Data'!$A:$F,6,0)),IGA_BD!$F:$F,"&gt;="&amp;Analytics!$B$2,IGA_BD!$F:$F,"&lt;="&amp;Analytics!$B$3)</f>
        <v>1.3833333333333337</v>
      </c>
      <c r="AK9" s="267">
        <f>SUMIFS(IGA_BD!$Q:$Q,IGA_BD!$G:$G,(VLOOKUP(AK$4,'Basic Data'!$A:$F,6,0)),IGA_BD!$F:$F,"&gt;="&amp;Analytics!$B$2,IGA_BD!$F:$F,"&lt;="&amp;Analytics!$B$3)</f>
        <v>1.5000000000000013</v>
      </c>
      <c r="AL9" s="267">
        <f>SUMIFS(IGA_BD!$Q:$Q,IGA_BD!$G:$G,(VLOOKUP(AL$4,'Basic Data'!$A:$F,6,0)),IGA_BD!$F:$F,"&gt;="&amp;Analytics!$B$2,IGA_BD!$F:$F,"&lt;="&amp;Analytics!$B$3)</f>
        <v>1.5000000000000013</v>
      </c>
      <c r="AM9" s="267">
        <f>SUMIFS(IGA_BD!$Q:$Q,IGA_BD!$G:$G,(VLOOKUP(AM$4,'Basic Data'!$A:$F,6,0)),IGA_BD!$F:$F,"&gt;="&amp;Analytics!$B$2,IGA_BD!$F:$F,"&lt;="&amp;Analytics!$B$3)</f>
        <v>1.5000000000000013</v>
      </c>
      <c r="AN9" s="267">
        <f>SUMIFS(IGA_BD!$Q:$Q,IGA_BD!$G:$G,(VLOOKUP(AN$4,'Basic Data'!$A:$F,6,0)),IGA_BD!$F:$F,"&gt;="&amp;Analytics!$B$2,IGA_BD!$F:$F,"&lt;="&amp;Analytics!$B$3)</f>
        <v>1.5000000000000013</v>
      </c>
      <c r="AO9" s="267">
        <f>SUMIFS(IGA_BD!$Q:$Q,IGA_BD!$G:$G,(VLOOKUP(AO$4,'Basic Data'!$A:$F,6,0)),IGA_BD!$F:$F,"&gt;="&amp;Analytics!$B$2,IGA_BD!$F:$F,"&lt;="&amp;Analytics!$B$3)</f>
        <v>12.666666666666668</v>
      </c>
      <c r="AP9" s="267">
        <f>SUMIFS(IGA_BD!$Q:$Q,IGA_BD!$G:$G,(VLOOKUP(AP$4,'Basic Data'!$A:$F,6,0)),IGA_BD!$F:$F,"&gt;="&amp;Analytics!$B$2,IGA_BD!$F:$F,"&lt;="&amp;Analytics!$B$3)</f>
        <v>12.666666666666668</v>
      </c>
      <c r="AQ9" s="267">
        <f>SUMIFS(IGA_BD!$Q:$Q,IGA_BD!$G:$G,(VLOOKUP(AQ$4,'Basic Data'!$A:$F,6,0)),IGA_BD!$F:$F,"&gt;="&amp;Analytics!$B$2,IGA_BD!$F:$F,"&lt;="&amp;Analytics!$B$3)</f>
        <v>12.666666666666668</v>
      </c>
      <c r="AR9" s="267">
        <f>SUMIFS(IGA_BD!$Q:$Q,IGA_BD!$G:$G,(VLOOKUP(AR$4,'Basic Data'!$A:$F,6,0)),IGA_BD!$F:$F,"&gt;="&amp;Analytics!$B$2,IGA_BD!$F:$F,"&lt;="&amp;Analytics!$B$3)</f>
        <v>12.666666666666668</v>
      </c>
      <c r="AS9" s="267">
        <f>SUMIFS(IGA_BD!$Q:$Q,IGA_BD!$G:$G,(VLOOKUP(AS$4,'Basic Data'!$A:$F,6,0)),IGA_BD!$F:$F,"&gt;="&amp;Analytics!$B$2,IGA_BD!$F:$F,"&lt;="&amp;Analytics!$B$3)</f>
        <v>12.666666666666668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0.99830246913580245</v>
      </c>
      <c r="C13" s="174">
        <f t="shared" ref="C13:F13" si="3">($C$3-C14)/$C$3</f>
        <v>0.99830246913580245</v>
      </c>
      <c r="D13" s="174">
        <f t="shared" si="3"/>
        <v>0.99830246913580245</v>
      </c>
      <c r="E13" s="174">
        <f t="shared" si="3"/>
        <v>1</v>
      </c>
      <c r="F13" s="174">
        <f t="shared" si="3"/>
        <v>0.99742798353909468</v>
      </c>
      <c r="G13" s="174">
        <f t="shared" ref="G13" si="4">($C$3-G14)/$C$3</f>
        <v>0.99742798353909468</v>
      </c>
      <c r="H13" s="174">
        <f t="shared" ref="H13" si="5">($C$3-H14)/$C$3</f>
        <v>0.99830246913580245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0.99830246913580245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0.99830246913580245</v>
      </c>
      <c r="AC13" s="174">
        <f t="shared" ref="AC13:AD13" si="21">($C$3-AC14)/$C$3</f>
        <v>0.99830246913580245</v>
      </c>
      <c r="AD13" s="174">
        <f t="shared" si="21"/>
        <v>1</v>
      </c>
      <c r="AE13" s="174">
        <f t="shared" ref="AE13" si="22">($C$3-AE14)/$C$3</f>
        <v>0.99830246913580245</v>
      </c>
      <c r="AF13" s="174">
        <f t="shared" ref="AF13" si="23">($C$3-AF14)/$C$3</f>
        <v>1</v>
      </c>
      <c r="AG13" s="174">
        <f t="shared" ref="AG13:AH13" si="24">($C$3-AG14)/$C$3</f>
        <v>0.99742798353909468</v>
      </c>
      <c r="AH13" s="174">
        <f t="shared" si="24"/>
        <v>0.99742798353909468</v>
      </c>
      <c r="AI13" s="174">
        <f t="shared" ref="AI13" si="25">($C$3-AI14)/$C$3</f>
        <v>0.99742798353909468</v>
      </c>
      <c r="AJ13" s="174">
        <f t="shared" ref="AJ13" si="26">($C$3-AJ14)/$C$3</f>
        <v>1</v>
      </c>
      <c r="AK13" s="174">
        <f t="shared" ref="AK13:AL13" si="27">($C$3-AK14)/$C$3</f>
        <v>0.99742798353909468</v>
      </c>
      <c r="AL13" s="174">
        <f t="shared" si="27"/>
        <v>0.99742798353909468</v>
      </c>
      <c r="AM13" s="174">
        <f t="shared" ref="AM13" si="28">($C$3-AM14)/$C$3</f>
        <v>0.99742798353909468</v>
      </c>
      <c r="AN13" s="174">
        <f t="shared" ref="AN13" si="29">($C$3-AN14)/$C$3</f>
        <v>0.99742798353909468</v>
      </c>
      <c r="AO13" s="174">
        <f t="shared" ref="AO13:AP13" si="30">($C$3-AO14)/$C$3</f>
        <v>0.99830246913580245</v>
      </c>
      <c r="AP13" s="174">
        <f t="shared" si="30"/>
        <v>0.99830246913580245</v>
      </c>
      <c r="AQ13" s="174">
        <f t="shared" ref="AQ13" si="31">($C$3-AQ14)/$C$3</f>
        <v>0.99830246913580245</v>
      </c>
      <c r="AR13" s="174">
        <f t="shared" ref="AR13" si="32">($C$3-AR14)/$C$3</f>
        <v>0.99830246913580245</v>
      </c>
      <c r="AS13" s="174">
        <f t="shared" ref="AS13" si="33">($C$3-AS14)/$C$3</f>
        <v>0.99830246913580245</v>
      </c>
      <c r="AT13" s="85">
        <f t="shared" si="2"/>
        <v>0.99897236251402921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1.1000000000000028</v>
      </c>
      <c r="C14" s="267">
        <f>SUMIFS(Grid_BD!$R:$R,Grid_BD!$G:$G,(VLOOKUP(C$4,'Basic Data'!$A:$F,6,0)),Grid_BD!$F:$F,"&gt;="&amp;Analytics!$B$2,Grid_BD!$F:$F,"&lt;="&amp;Analytics!$B$3)</f>
        <v>1.1000000000000028</v>
      </c>
      <c r="D14" s="267">
        <f>SUMIFS(Grid_BD!$R:$R,Grid_BD!$G:$G,(VLOOKUP(D$4,'Basic Data'!$A:$F,6,0)),Grid_BD!$F:$F,"&gt;="&amp;Analytics!$B$2,Grid_BD!$F:$F,"&lt;="&amp;Analytics!$B$3)</f>
        <v>1.1000000000000028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1.6666666666666647</v>
      </c>
      <c r="G14" s="267">
        <f>SUMIFS(Grid_BD!$R:$R,Grid_BD!$G:$G,(VLOOKUP(G$4,'Basic Data'!$A:$F,6,0)),Grid_BD!$F:$F,"&gt;="&amp;Analytics!$B$2,Grid_BD!$F:$F,"&lt;="&amp;Analytics!$B$3)</f>
        <v>1.6666666666666647</v>
      </c>
      <c r="H14" s="267">
        <f>SUMIFS(Grid_BD!$R:$R,Grid_BD!$G:$G,(VLOOKUP(H$4,'Basic Data'!$A:$F,6,0)),Grid_BD!$F:$F,"&gt;="&amp;Analytics!$B$2,Grid_BD!$F:$F,"&lt;="&amp;Analytics!$B$3)</f>
        <v>1.1000000000000028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1.1000000000000028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1.1000000000000028</v>
      </c>
      <c r="AC14" s="267">
        <f>SUMIFS(Grid_BD!$R:$R,Grid_BD!$G:$G,(VLOOKUP(AC$4,'Basic Data'!$A:$F,6,0)),Grid_BD!$F:$F,"&gt;="&amp;Analytics!$B$2,Grid_BD!$F:$F,"&lt;="&amp;Analytics!$B$3)</f>
        <v>1.1000000000000028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1.1000000000000028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1.6666666666666647</v>
      </c>
      <c r="AH14" s="267">
        <f>SUMIFS(Grid_BD!$R:$R,Grid_BD!$G:$G,(VLOOKUP(AH$4,'Basic Data'!$A:$F,6,0)),Grid_BD!$F:$F,"&gt;="&amp;Analytics!$B$2,Grid_BD!$F:$F,"&lt;="&amp;Analytics!$B$3)</f>
        <v>1.6666666666666647</v>
      </c>
      <c r="AI14" s="267">
        <f>SUMIFS(Grid_BD!$R:$R,Grid_BD!$G:$G,(VLOOKUP(AI$4,'Basic Data'!$A:$F,6,0)),Grid_BD!$F:$F,"&gt;="&amp;Analytics!$B$2,Grid_BD!$F:$F,"&lt;="&amp;Analytics!$B$3)</f>
        <v>1.6666666666666647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1.6666666666666647</v>
      </c>
      <c r="AL14" s="267">
        <f>SUMIFS(Grid_BD!$R:$R,Grid_BD!$G:$G,(VLOOKUP(AL$4,'Basic Data'!$A:$F,6,0)),Grid_BD!$F:$F,"&gt;="&amp;Analytics!$B$2,Grid_BD!$F:$F,"&lt;="&amp;Analytics!$B$3)</f>
        <v>1.6666666666666647</v>
      </c>
      <c r="AM14" s="267">
        <f>SUMIFS(Grid_BD!$R:$R,Grid_BD!$G:$G,(VLOOKUP(AM$4,'Basic Data'!$A:$F,6,0)),Grid_BD!$F:$F,"&gt;="&amp;Analytics!$B$2,Grid_BD!$F:$F,"&lt;="&amp;Analytics!$B$3)</f>
        <v>1.6666666666666647</v>
      </c>
      <c r="AN14" s="267">
        <f>SUMIFS(Grid_BD!$R:$R,Grid_BD!$G:$G,(VLOOKUP(AN$4,'Basic Data'!$A:$F,6,0)),Grid_BD!$F:$F,"&gt;="&amp;Analytics!$B$2,Grid_BD!$F:$F,"&lt;="&amp;Analytics!$B$3)</f>
        <v>1.6666666666666647</v>
      </c>
      <c r="AO14" s="267">
        <f>SUMIFS(Grid_BD!$R:$R,Grid_BD!$G:$G,(VLOOKUP(AO$4,'Basic Data'!$A:$F,6,0)),Grid_BD!$F:$F,"&gt;="&amp;Analytics!$B$2,Grid_BD!$F:$F,"&lt;="&amp;Analytics!$B$3)</f>
        <v>1.1000000000000028</v>
      </c>
      <c r="AP14" s="267">
        <f>SUMIFS(Grid_BD!$R:$R,Grid_BD!$G:$G,(VLOOKUP(AP$4,'Basic Data'!$A:$F,6,0)),Grid_BD!$F:$F,"&gt;="&amp;Analytics!$B$2,Grid_BD!$F:$F,"&lt;="&amp;Analytics!$B$3)</f>
        <v>1.1000000000000028</v>
      </c>
      <c r="AQ14" s="267">
        <f>SUMIFS(Grid_BD!$R:$R,Grid_BD!$G:$G,(VLOOKUP(AQ$4,'Basic Data'!$A:$F,6,0)),Grid_BD!$F:$F,"&gt;="&amp;Analytics!$B$2,Grid_BD!$F:$F,"&lt;="&amp;Analytics!$B$3)</f>
        <v>1.1000000000000028</v>
      </c>
      <c r="AR14" s="267">
        <f>SUMIFS(Grid_BD!$R:$R,Grid_BD!$G:$G,(VLOOKUP(AR$4,'Basic Data'!$A:$F,6,0)),Grid_BD!$F:$F,"&gt;="&amp;Analytics!$B$2,Grid_BD!$F:$F,"&lt;="&amp;Analytics!$B$3)</f>
        <v>1.1000000000000028</v>
      </c>
      <c r="AS14" s="267">
        <f>SUMIFS(Grid_BD!$R:$R,Grid_BD!$G:$G,(VLOOKUP(AS$4,'Basic Data'!$A:$F,6,0)),Grid_BD!$F:$F,"&gt;="&amp;Analytics!$B$2,Grid_BD!$F:$F,"&lt;="&amp;Analytics!$B$3)</f>
        <v>1.1000000000000028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758328</v>
      </c>
      <c r="C15" s="173">
        <f>SUMIFS(Input_Raw!G:G,Input_Raw!$A:$A,"&gt;="&amp;Analytics!$B$2,Input_Raw!$A:$A,"&lt;="&amp;Analytics!$B$3)</f>
        <v>671768</v>
      </c>
      <c r="D15" s="173">
        <f>SUMIFS(Input_Raw!H:H,Input_Raw!$A:$A,"&gt;="&amp;Analytics!$B$2,Input_Raw!$A:$A,"&lt;="&amp;Analytics!$B$3)</f>
        <v>637524</v>
      </c>
      <c r="E15" s="173">
        <f>SUMIFS(Input_Raw!I:I,Input_Raw!$A:$A,"&gt;="&amp;Analytics!$B$2,Input_Raw!$A:$A,"&lt;="&amp;Analytics!$B$3)</f>
        <v>677558</v>
      </c>
      <c r="F15" s="173">
        <f>SUMIFS(Input_Raw!J:J,Input_Raw!$A:$A,"&gt;="&amp;Analytics!$B$2,Input_Raw!$A:$A,"&lt;="&amp;Analytics!$B$3)</f>
        <v>769444</v>
      </c>
      <c r="G15" s="173">
        <f>SUMIFS(Input_Raw!K:K,Input_Raw!$A:$A,"&gt;="&amp;Analytics!$B$2,Input_Raw!$A:$A,"&lt;="&amp;Analytics!$B$3)</f>
        <v>683816</v>
      </c>
      <c r="H15" s="173">
        <f>SUMIFS(Input_Raw!L:L,Input_Raw!$A:$A,"&gt;="&amp;Analytics!$B$2,Input_Raw!$A:$A,"&lt;="&amp;Analytics!$B$3)</f>
        <v>674240</v>
      </c>
      <c r="I15" s="173">
        <f>SUMIFS(Input_Raw!M:M,Input_Raw!$A:$A,"&gt;="&amp;Analytics!$B$2,Input_Raw!$A:$A,"&lt;="&amp;Analytics!$B$3)</f>
        <v>626398</v>
      </c>
      <c r="J15" s="173">
        <f>SUMIFS(Input_Raw!N:N,Input_Raw!$A:$A,"&gt;="&amp;Analytics!$B$2,Input_Raw!$A:$A,"&lt;="&amp;Analytics!$B$3)</f>
        <v>515468</v>
      </c>
      <c r="K15" s="173">
        <f>SUMIFS(Input_Raw!O:O,Input_Raw!$A:$A,"&gt;="&amp;Analytics!$B$2,Input_Raw!$A:$A,"&lt;="&amp;Analytics!$B$3)</f>
        <v>570804</v>
      </c>
      <c r="L15" s="173">
        <f>SUMIFS(Input_Raw!P:P,Input_Raw!$A:$A,"&gt;="&amp;Analytics!$B$2,Input_Raw!$A:$A,"&lt;="&amp;Analytics!$B$3)</f>
        <v>678380</v>
      </c>
      <c r="M15" s="173">
        <f>SUMIFS(Input_Raw!Q:Q,Input_Raw!$A:$A,"&gt;="&amp;Analytics!$B$2,Input_Raw!$A:$A,"&lt;="&amp;Analytics!$B$3)</f>
        <v>723360</v>
      </c>
      <c r="N15" s="173">
        <f>SUMIFS(Input_Raw!R:R,Input_Raw!$A:$A,"&gt;="&amp;Analytics!$B$2,Input_Raw!$A:$A,"&lt;="&amp;Analytics!$B$3)</f>
        <v>689600</v>
      </c>
      <c r="O15" s="173">
        <f>SUMIFS(Input_Raw!S:S,Input_Raw!$A:$A,"&gt;="&amp;Analytics!$B$2,Input_Raw!$A:$A,"&lt;="&amp;Analytics!$B$3)</f>
        <v>635596</v>
      </c>
      <c r="P15" s="173">
        <f>SUMIFS(Input_Raw!T:T,Input_Raw!$A:$A,"&gt;="&amp;Analytics!$B$2,Input_Raw!$A:$A,"&lt;="&amp;Analytics!$B$3)</f>
        <v>594574</v>
      </c>
      <c r="Q15" s="173">
        <f>SUMIFS(Input_Raw!U:U,Input_Raw!$A:$A,"&gt;="&amp;Analytics!$B$2,Input_Raw!$A:$A,"&lt;="&amp;Analytics!$B$3)</f>
        <v>652462</v>
      </c>
      <c r="R15" s="173">
        <f>SUMIFS(Input_Raw!V:V,Input_Raw!$A:$A,"&gt;="&amp;Analytics!$B$2,Input_Raw!$A:$A,"&lt;="&amp;Analytics!$B$3)</f>
        <v>675040</v>
      </c>
      <c r="S15" s="173">
        <f>SUMIFS(Input_Raw!W:W,Input_Raw!$A:$A,"&gt;="&amp;Analytics!$B$2,Input_Raw!$A:$A,"&lt;="&amp;Analytics!$B$3)</f>
        <v>669936</v>
      </c>
      <c r="T15" s="173">
        <f>SUMIFS(Input_Raw!X:X,Input_Raw!$A:$A,"&gt;="&amp;Analytics!$B$2,Input_Raw!$A:$A,"&lt;="&amp;Analytics!$B$3)</f>
        <v>591408</v>
      </c>
      <c r="U15" s="173">
        <f>SUMIFS(Input_Raw!Y:Y,Input_Raw!$A:$A,"&gt;="&amp;Analytics!$B$2,Input_Raw!$A:$A,"&lt;="&amp;Analytics!$B$3)</f>
        <v>559950</v>
      </c>
      <c r="V15" s="173">
        <f>SUMIFS(Input_Raw!Z:Z,Input_Raw!$A:$A,"&gt;="&amp;Analytics!$B$2,Input_Raw!$A:$A,"&lt;="&amp;Analytics!$B$3)</f>
        <v>694476</v>
      </c>
      <c r="W15" s="173">
        <f>SUMIFS(Input_Raw!AA:AA,Input_Raw!$A:$A,"&gt;="&amp;Analytics!$B$2,Input_Raw!$A:$A,"&lt;="&amp;Analytics!$B$3)</f>
        <v>625280</v>
      </c>
      <c r="X15" s="173">
        <f>SUMIFS(Input_Raw!AB:AB,Input_Raw!$A:$A,"&gt;="&amp;Analytics!$B$2,Input_Raw!$A:$A,"&lt;="&amp;Analytics!$B$3)</f>
        <v>644352</v>
      </c>
      <c r="Y15" s="173">
        <f>SUMIFS(Input_Raw!AC:AC,Input_Raw!$A:$A,"&gt;="&amp;Analytics!$B$2,Input_Raw!$A:$A,"&lt;="&amp;Analytics!$B$3)</f>
        <v>675600</v>
      </c>
      <c r="Z15" s="173">
        <f>SUMIFS(Input_Raw!AD:AD,Input_Raw!$A:$A,"&gt;="&amp;Analytics!$B$2,Input_Raw!$A:$A,"&lt;="&amp;Analytics!$B$3)</f>
        <v>696544</v>
      </c>
      <c r="AA15" s="173">
        <f>SUMIFS(Input_Raw!AE:AE,Input_Raw!$A:$A,"&gt;="&amp;Analytics!$B$2,Input_Raw!$A:$A,"&lt;="&amp;Analytics!$B$3)</f>
        <v>654240</v>
      </c>
      <c r="AB15" s="173">
        <f>SUMIFS(Input_Raw!AF:AF,Input_Raw!$A:$A,"&gt;="&amp;Analytics!$B$2,Input_Raw!$A:$A,"&lt;="&amp;Analytics!$B$3)</f>
        <v>597230</v>
      </c>
      <c r="AC15" s="173">
        <f>SUMIFS(Input_Raw!AG:AG,Input_Raw!$A:$A,"&gt;="&amp;Analytics!$B$2,Input_Raw!$A:$A,"&lt;="&amp;Analytics!$B$3)</f>
        <v>588582</v>
      </c>
      <c r="AD15" s="173">
        <f>SUMIFS(Input_Raw!AH:AH,Input_Raw!$A:$A,"&gt;="&amp;Analytics!$B$2,Input_Raw!$A:$A,"&lt;="&amp;Analytics!$B$3)</f>
        <v>710132</v>
      </c>
      <c r="AE15" s="173">
        <f>SUMIFS(Input_Raw!AI:AI,Input_Raw!$A:$A,"&gt;="&amp;Analytics!$B$2,Input_Raw!$A:$A,"&lt;="&amp;Analytics!$B$3)</f>
        <v>654316</v>
      </c>
      <c r="AF15" s="173">
        <f>SUMIFS(Input_Raw!AJ:AJ,Input_Raw!$A:$A,"&gt;="&amp;Analytics!$B$2,Input_Raw!$A:$A,"&lt;="&amp;Analytics!$B$3)</f>
        <v>650900</v>
      </c>
      <c r="AG15" s="173">
        <f>SUMIFS(Input_Raw!AK:AK,Input_Raw!$A:$A,"&gt;="&amp;Analytics!$B$2,Input_Raw!$A:$A,"&lt;="&amp;Analytics!$B$3)</f>
        <v>554322</v>
      </c>
      <c r="AH15" s="173">
        <f>SUMIFS(Input_Raw!AL:AL,Input_Raw!$A:$A,"&gt;="&amp;Analytics!$B$2,Input_Raw!$A:$A,"&lt;="&amp;Analytics!$B$3)</f>
        <v>761228</v>
      </c>
      <c r="AI15" s="173">
        <f>SUMIFS(Input_Raw!AM:AM,Input_Raw!$A:$A,"&gt;="&amp;Analytics!$B$2,Input_Raw!$A:$A,"&lt;="&amp;Analytics!$B$3)</f>
        <v>741488</v>
      </c>
      <c r="AJ15" s="173">
        <f>SUMIFS(Input_Raw!AN:AN,Input_Raw!$A:$A,"&gt;="&amp;Analytics!$B$2,Input_Raw!$A:$A,"&lt;="&amp;Analytics!$B$3)</f>
        <v>576804</v>
      </c>
      <c r="AK15" s="173">
        <f>SUMIFS(Input_Raw!AO:AO,Input_Raw!$A:$A,"&gt;="&amp;Analytics!$B$2,Input_Raw!$A:$A,"&lt;="&amp;Analytics!$B$3)</f>
        <v>801624</v>
      </c>
      <c r="AL15" s="173">
        <f>SUMIFS(Input_Raw!AP:AP,Input_Raw!$A:$A,"&gt;="&amp;Analytics!$B$2,Input_Raw!$A:$A,"&lt;="&amp;Analytics!$B$3)</f>
        <v>800392</v>
      </c>
      <c r="AM15" s="173">
        <f>SUMIFS(Input_Raw!AQ:AQ,Input_Raw!$A:$A,"&gt;="&amp;Analytics!$B$2,Input_Raw!$A:$A,"&lt;="&amp;Analytics!$B$3)</f>
        <v>757336</v>
      </c>
      <c r="AN15" s="173">
        <f>SUMIFS(Input_Raw!AR:AR,Input_Raw!$A:$A,"&gt;="&amp;Analytics!$B$2,Input_Raw!$A:$A,"&lt;="&amp;Analytics!$B$3)</f>
        <v>790804</v>
      </c>
      <c r="AO15" s="173">
        <f>SUMIFS(Input_Raw!AS:AS,Input_Raw!$A:$A,"&gt;="&amp;Analytics!$B$2,Input_Raw!$A:$A,"&lt;="&amp;Analytics!$B$3)</f>
        <v>661170</v>
      </c>
      <c r="AP15" s="173">
        <f>SUMIFS(Input_Raw!AT:AT,Input_Raw!$A:$A,"&gt;="&amp;Analytics!$B$2,Input_Raw!$A:$A,"&lt;="&amp;Analytics!$B$3)</f>
        <v>717572</v>
      </c>
      <c r="AQ15" s="173">
        <f>SUMIFS(Input_Raw!AU:AU,Input_Raw!$A:$A,"&gt;="&amp;Analytics!$B$2,Input_Raw!$A:$A,"&lt;="&amp;Analytics!$B$3)</f>
        <v>699956</v>
      </c>
      <c r="AR15" s="173">
        <f>SUMIFS(Input_Raw!AV:AV,Input_Raw!$A:$A,"&gt;="&amp;Analytics!$B$2,Input_Raw!$A:$A,"&lt;="&amp;Analytics!$B$3)</f>
        <v>794112</v>
      </c>
      <c r="AS15" s="173">
        <f>SUMIFS(Input_Raw!AW:AW,Input_Raw!$A:$A,"&gt;="&amp;Analytics!$B$2,Input_Raw!$A:$A,"&lt;="&amp;Analytics!$B$3)</f>
        <v>742248</v>
      </c>
      <c r="AT15">
        <f>SUM(B15:AS15)</f>
        <v>29646362</v>
      </c>
    </row>
    <row r="16" spans="1:46" ht="29.15" customHeight="1">
      <c r="A16" s="167" t="s">
        <v>131</v>
      </c>
      <c r="B16" s="172">
        <f>($C$3-(SUM(B8:B12,B14,B6)))/$C$3</f>
        <v>0.96612654320987645</v>
      </c>
      <c r="C16" s="172">
        <f t="shared" ref="C16:AS16" si="34">($C$3-(SUM(C8:C12,C14,C6)))/$C$3</f>
        <v>0.97384259259259254</v>
      </c>
      <c r="D16" s="172">
        <f t="shared" si="34"/>
        <v>0.95349794238683128</v>
      </c>
      <c r="E16" s="172">
        <f t="shared" si="34"/>
        <v>0.97188786008230443</v>
      </c>
      <c r="F16" s="172">
        <f t="shared" si="34"/>
        <v>0.99501028806584357</v>
      </c>
      <c r="G16" s="172">
        <f t="shared" si="34"/>
        <v>0.96980452674897133</v>
      </c>
      <c r="H16" s="172">
        <f t="shared" si="34"/>
        <v>0.96851851851851856</v>
      </c>
      <c r="I16" s="172">
        <f t="shared" si="34"/>
        <v>0.9945987654320988</v>
      </c>
      <c r="J16" s="172">
        <f t="shared" si="34"/>
        <v>0.99809670781893001</v>
      </c>
      <c r="K16" s="172">
        <f t="shared" si="34"/>
        <v>0.98963477366255137</v>
      </c>
      <c r="L16" s="172">
        <f t="shared" si="34"/>
        <v>0.99521604938271602</v>
      </c>
      <c r="M16" s="172">
        <f t="shared" si="34"/>
        <v>0.99837962962962967</v>
      </c>
      <c r="N16" s="172">
        <f t="shared" si="34"/>
        <v>0.98523662551440316</v>
      </c>
      <c r="O16" s="172">
        <f t="shared" si="34"/>
        <v>0.99786522633744856</v>
      </c>
      <c r="P16" s="172">
        <f t="shared" si="34"/>
        <v>0.99531893004115235</v>
      </c>
      <c r="Q16" s="172">
        <f t="shared" si="34"/>
        <v>0.99786522633744856</v>
      </c>
      <c r="R16" s="172">
        <f t="shared" si="34"/>
        <v>0.99696502057613168</v>
      </c>
      <c r="S16" s="172">
        <f t="shared" si="34"/>
        <v>0.97867798353909452</v>
      </c>
      <c r="T16" s="172">
        <f t="shared" si="34"/>
        <v>0.96944444444444455</v>
      </c>
      <c r="U16" s="172">
        <f t="shared" si="34"/>
        <v>0.99436728395061735</v>
      </c>
      <c r="V16" s="172">
        <f t="shared" si="34"/>
        <v>0.99248971193415636</v>
      </c>
      <c r="W16" s="172">
        <f t="shared" si="34"/>
        <v>0.97870370370370374</v>
      </c>
      <c r="X16" s="172">
        <f t="shared" si="34"/>
        <v>0.99881687242798356</v>
      </c>
      <c r="Y16" s="172">
        <f t="shared" si="34"/>
        <v>0.98870884773662548</v>
      </c>
      <c r="Z16" s="172">
        <f t="shared" si="34"/>
        <v>0.99742798353909468</v>
      </c>
      <c r="AA16" s="172">
        <f t="shared" si="34"/>
        <v>1</v>
      </c>
      <c r="AB16" s="172">
        <f t="shared" si="34"/>
        <v>0.97857510288065841</v>
      </c>
      <c r="AC16" s="172">
        <f t="shared" si="34"/>
        <v>0.97736625514403297</v>
      </c>
      <c r="AD16" s="172">
        <f t="shared" si="34"/>
        <v>0.99171810699588481</v>
      </c>
      <c r="AE16" s="172">
        <f t="shared" si="34"/>
        <v>0.97160493827160499</v>
      </c>
      <c r="AF16" s="172">
        <f t="shared" si="34"/>
        <v>0.99693930041152257</v>
      </c>
      <c r="AG16" s="172">
        <f t="shared" si="34"/>
        <v>0.9771090534979423</v>
      </c>
      <c r="AH16" s="172">
        <f t="shared" si="34"/>
        <v>0.99377572016460913</v>
      </c>
      <c r="AI16" s="172">
        <f t="shared" si="34"/>
        <v>0.99300411522633747</v>
      </c>
      <c r="AJ16" s="172">
        <f t="shared" si="34"/>
        <v>0.99351851851851847</v>
      </c>
      <c r="AK16" s="172">
        <f t="shared" si="34"/>
        <v>0.99187242798353914</v>
      </c>
      <c r="AL16" s="172">
        <f t="shared" si="34"/>
        <v>0.99441872427983535</v>
      </c>
      <c r="AM16" s="172">
        <f t="shared" si="34"/>
        <v>0.99184670781893014</v>
      </c>
      <c r="AN16" s="172">
        <f t="shared" si="34"/>
        <v>0.99413580246913591</v>
      </c>
      <c r="AO16" s="172">
        <f t="shared" si="34"/>
        <v>0.9780864197530863</v>
      </c>
      <c r="AP16" s="172">
        <f t="shared" si="34"/>
        <v>0.97764917695473252</v>
      </c>
      <c r="AQ16" s="172">
        <f t="shared" si="34"/>
        <v>0.97229938271604932</v>
      </c>
      <c r="AR16" s="172">
        <f t="shared" si="34"/>
        <v>0.97865226337448552</v>
      </c>
      <c r="AS16" s="172">
        <f t="shared" si="34"/>
        <v>0.97062757201646099</v>
      </c>
      <c r="AT16" s="85">
        <f t="shared" si="2"/>
        <v>0.98567503741114837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16.366666666666664</v>
      </c>
      <c r="E17" s="171">
        <f>SUMIFS(WTG_BD!$T:$T,WTG_BD!$G:$G,Analytics!E$4,WTG_BD!$F:$F,"&gt;="&amp;Analytics!$B$2,WTG_BD!$F:$F,"&lt;="&amp;Analytics!$B$3)</f>
        <v>16.833333333333329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16.399999999999995</v>
      </c>
      <c r="H17" s="171">
        <f>SUMIFS(WTG_BD!$T:$T,WTG_BD!$G:$G,Analytics!H$4,WTG_BD!$F:$F,"&gt;="&amp;Analytics!$B$2,WTG_BD!$F:$F,"&lt;="&amp;Analytics!$B$3)</f>
        <v>6.6333333333333337</v>
      </c>
      <c r="I17" s="171">
        <f>SUMIFS(WTG_BD!$T:$T,WTG_BD!$G:$G,Analytics!I$4,WTG_BD!$F:$F,"&gt;="&amp;Analytics!$B$2,WTG_BD!$F:$F,"&lt;="&amp;Analytics!$B$3)</f>
        <v>3.5</v>
      </c>
      <c r="J17" s="171">
        <f>SUMIFS(WTG_BD!$T:$T,WTG_BD!$G:$G,Analytics!J$4,WTG_BD!$F:$F,"&gt;="&amp;Analytics!$B$2,WTG_BD!$F:$F,"&lt;="&amp;Analytics!$B$3)</f>
        <v>1.2333333333333316</v>
      </c>
      <c r="K17" s="171">
        <f>SUMIFS(WTG_BD!$T:$T,WTG_BD!$G:$G,Analytics!K$4,WTG_BD!$F:$F,"&gt;="&amp;Analytics!$B$2,WTG_BD!$F:$F,"&lt;="&amp;Analytics!$B$3)</f>
        <v>6.7166666666666641</v>
      </c>
      <c r="L17" s="171">
        <f>SUMIFS(WTG_BD!$T:$T,WTG_BD!$G:$G,Analytics!L$4,WTG_BD!$F:$F,"&gt;="&amp;Analytics!$B$2,WTG_BD!$F:$F,"&lt;="&amp;Analytics!$B$3)</f>
        <v>3.0999999999999965</v>
      </c>
      <c r="M17" s="171">
        <f>SUMIFS(WTG_BD!$T:$T,WTG_BD!$G:$G,Analytics!M$4,WTG_BD!$F:$F,"&gt;="&amp;Analytics!$B$2,WTG_BD!$F:$F,"&lt;="&amp;Analytics!$B$3)</f>
        <v>1.0500000000000016</v>
      </c>
      <c r="N17" s="171">
        <f>SUMIFS(WTG_BD!$T:$T,WTG_BD!$G:$G,Analytics!N$4,WTG_BD!$F:$F,"&gt;="&amp;Analytics!$B$2,WTG_BD!$F:$F,"&lt;="&amp;Analytics!$B$3)</f>
        <v>9.5666666666666664</v>
      </c>
      <c r="O17" s="171">
        <f>SUMIFS(WTG_BD!$T:$T,WTG_BD!$G:$G,Analytics!O$4,WTG_BD!$F:$F,"&gt;="&amp;Analytics!$B$2,WTG_BD!$F:$F,"&lt;="&amp;Analytics!$B$3)</f>
        <v>0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0</v>
      </c>
      <c r="R17" s="171">
        <f>SUMIFS(WTG_BD!$T:$T,WTG_BD!$G:$G,Analytics!R$4,WTG_BD!$F:$F,"&gt;="&amp;Analytics!$B$2,WTG_BD!$F:$F,"&lt;="&amp;Analytics!$B$3)</f>
        <v>0.58333333333333126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18.416666666666664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3.4833333333333316</v>
      </c>
      <c r="W17" s="171">
        <f>SUMIFS(WTG_BD!$T:$T,WTG_BD!$G:$G,Analytics!W$4,WTG_BD!$F:$F,"&gt;="&amp;Analytics!$B$2,WTG_BD!$F:$F,"&lt;="&amp;Analytics!$B$3)</f>
        <v>12.416666666666668</v>
      </c>
      <c r="X17" s="171">
        <f>SUMIFS(WTG_BD!$T:$T,WTG_BD!$G:$G,Analytics!X$4,WTG_BD!$F:$F,"&gt;="&amp;Analytics!$B$2,WTG_BD!$F:$F,"&lt;="&amp;Analytics!$B$3)</f>
        <v>0.76666666666666661</v>
      </c>
      <c r="Y17" s="171">
        <f>SUMIFS(WTG_BD!$T:$T,WTG_BD!$G:$G,Analytics!Y$4,WTG_BD!$F:$F,"&gt;="&amp;Analytics!$B$2,WTG_BD!$F:$F,"&lt;="&amp;Analytics!$B$3)</f>
        <v>7.3166666666666673</v>
      </c>
      <c r="Z17" s="171">
        <f>SUMIFS(WTG_BD!$T:$T,WTG_BD!$G:$G,Analytics!Z$4,WTG_BD!$F:$F,"&gt;="&amp;Analytics!$B$2,WTG_BD!$F:$F,"&lt;="&amp;Analytics!$B$3)</f>
        <v>1.6666666666666687</v>
      </c>
      <c r="AA17" s="171">
        <f>SUMIFS(WTG_BD!$T:$T,WTG_BD!$G:$G,Analytics!AA$4,WTG_BD!$F:$F,"&gt;="&amp;Analytics!$B$2,WTG_BD!$F:$F,"&lt;="&amp;Analytics!$B$3)</f>
        <v>0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3.9833333333333325</v>
      </c>
      <c r="AE17" s="171">
        <f>SUMIFS(WTG_BD!$T:$T,WTG_BD!$G:$G,Analytics!AE$4,WTG_BD!$F:$F,"&gt;="&amp;Analytics!$B$2,WTG_BD!$F:$F,"&lt;="&amp;Analytics!$B$3)</f>
        <v>4.6333333333333311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0.86666666666666892</v>
      </c>
      <c r="AI17" s="171">
        <f>SUMIFS(WTG_BD!$T:$T,WTG_BD!$G:$G,Analytics!AI$4,WTG_BD!$F:$F,"&gt;="&amp;Analytics!$B$2,WTG_BD!$F:$F,"&lt;="&amp;Analytics!$B$3)</f>
        <v>1.3666666666666698</v>
      </c>
      <c r="AJ17" s="171">
        <f>SUMIFS(WTG_BD!$T:$T,WTG_BD!$G:$G,Analytics!AJ$4,WTG_BD!$F:$F,"&gt;="&amp;Analytics!$B$2,WTG_BD!$F:$F,"&lt;="&amp;Analytics!$B$3)</f>
        <v>2.8166666666666673</v>
      </c>
      <c r="AK17" s="171">
        <f>SUMIFS(WTG_BD!$T:$T,WTG_BD!$G:$G,Analytics!AK$4,WTG_BD!$F:$F,"&gt;="&amp;Analytics!$B$2,WTG_BD!$F:$F,"&lt;="&amp;Analytics!$B$3)</f>
        <v>2.1000000000000032</v>
      </c>
      <c r="AL17" s="171">
        <f>SUMIFS(WTG_BD!$T:$T,WTG_BD!$G:$G,Analytics!AL$4,WTG_BD!$F:$F,"&gt;="&amp;Analytics!$B$2,WTG_BD!$F:$F,"&lt;="&amp;Analytics!$B$3)</f>
        <v>0.44999999999999973</v>
      </c>
      <c r="AM17" s="171">
        <f>SUMIFS(WTG_BD!$T:$T,WTG_BD!$G:$G,Analytics!AM$4,WTG_BD!$F:$F,"&gt;="&amp;Analytics!$B$2,WTG_BD!$F:$F,"&lt;="&amp;Analytics!$B$3)</f>
        <v>2.1166666666666671</v>
      </c>
      <c r="AN17" s="171">
        <f>SUMIFS(WTG_BD!$T:$T,WTG_BD!$G:$G,Analytics!AN$4,WTG_BD!$F:$F,"&gt;="&amp;Analytics!$B$2,WTG_BD!$F:$F,"&lt;="&amp;Analytics!$B$3)</f>
        <v>0.63333333333333242</v>
      </c>
      <c r="AO17" s="171">
        <f>SUMIFS(WTG_BD!$T:$T,WTG_BD!$G:$G,Analytics!AO$4,WTG_BD!$F:$F,"&gt;="&amp;Analytics!$B$2,WTG_BD!$F:$F,"&lt;="&amp;Analytics!$B$3)</f>
        <v>0.43333333333333446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4.1833333333333318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6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6</v>
      </c>
      <c r="H18" s="171">
        <f>COUNTIFS(WTG_BD!$G:$G,Analytics!H$4,WTG_BD!$F:$F,"&gt;="&amp;Analytics!$B$2,WTG_BD!$F:$F,"&lt;="&amp;Analytics!$B$3)</f>
        <v>3</v>
      </c>
      <c r="I18" s="171">
        <f>COUNTIFS(WTG_BD!$G:$G,Analytics!I$4,WTG_BD!$F:$F,"&gt;="&amp;Analytics!$B$2,WTG_BD!$F:$F,"&lt;="&amp;Analytics!$B$3)</f>
        <v>6</v>
      </c>
      <c r="J18" s="171">
        <f>COUNTIFS(WTG_BD!$G:$G,Analytics!J$4,WTG_BD!$F:$F,"&gt;="&amp;Analytics!$B$2,WTG_BD!$F:$F,"&lt;="&amp;Analytics!$B$3)</f>
        <v>1</v>
      </c>
      <c r="K18" s="171">
        <f>COUNTIFS(WTG_BD!$G:$G,Analytics!K$4,WTG_BD!$F:$F,"&gt;="&amp;Analytics!$B$2,WTG_BD!$F:$F,"&lt;="&amp;Analytics!$B$3)</f>
        <v>4</v>
      </c>
      <c r="L18" s="171">
        <f>COUNTIFS(WTG_BD!$G:$G,Analytics!L$4,WTG_BD!$F:$F,"&gt;="&amp;Analytics!$B$2,WTG_BD!$F:$F,"&lt;="&amp;Analytics!$B$3)</f>
        <v>4</v>
      </c>
      <c r="M18" s="171">
        <f>COUNTIFS(WTG_BD!$G:$G,Analytics!M$4,WTG_BD!$F:$F,"&gt;="&amp;Analytics!$B$2,WTG_BD!$F:$F,"&lt;="&amp;Analytics!$B$3)</f>
        <v>1</v>
      </c>
      <c r="N18" s="171">
        <f>COUNTIFS(WTG_BD!$G:$G,Analytics!N$4,WTG_BD!$F:$F,"&gt;="&amp;Analytics!$B$2,WTG_BD!$F:$F,"&lt;="&amp;Analytics!$B$3)</f>
        <v>6</v>
      </c>
      <c r="O18" s="171">
        <f>COUNTIFS(WTG_BD!$G:$G,Analytics!O$4,WTG_BD!$F:$F,"&gt;="&amp;Analytics!$B$2,WTG_BD!$F:$F,"&lt;="&amp;Analytics!$B$3)</f>
        <v>0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0</v>
      </c>
      <c r="R18" s="171">
        <f>COUNTIFS(WTG_BD!$G:$G,Analytics!R$4,WTG_BD!$F:$F,"&gt;="&amp;Analytics!$B$2,WTG_BD!$F:$F,"&lt;="&amp;Analytics!$B$3)</f>
        <v>1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6</v>
      </c>
      <c r="X18" s="171">
        <f>COUNTIFS(WTG_BD!$G:$G,Analytics!X$4,WTG_BD!$F:$F,"&gt;="&amp;Analytics!$B$2,WTG_BD!$F:$F,"&lt;="&amp;Analytics!$B$3)</f>
        <v>1</v>
      </c>
      <c r="Y18" s="171">
        <f>COUNTIFS(WTG_BD!$G:$G,Analytics!Y$4,WTG_BD!$F:$F,"&gt;="&amp;Analytics!$B$2,WTG_BD!$F:$F,"&lt;="&amp;Analytics!$B$3)</f>
        <v>3</v>
      </c>
      <c r="Z18" s="171">
        <f>COUNTIFS(WTG_BD!$G:$G,Analytics!Z$4,WTG_BD!$F:$F,"&gt;="&amp;Analytics!$B$2,WTG_BD!$F:$F,"&lt;="&amp;Analytics!$B$3)</f>
        <v>2</v>
      </c>
      <c r="AA18" s="171">
        <f>COUNTIFS(WTG_BD!$G:$G,Analytics!AA$4,WTG_BD!$F:$F,"&gt;="&amp;Analytics!$B$2,WTG_BD!$F:$F,"&lt;="&amp;Analytics!$B$3)</f>
        <v>0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3</v>
      </c>
      <c r="AE18" s="171">
        <f>COUNTIFS(WTG_BD!$G:$G,Analytics!AE$4,WTG_BD!$F:$F,"&gt;="&amp;Analytics!$B$2,WTG_BD!$F:$F,"&lt;="&amp;Analytics!$B$3)</f>
        <v>4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3</v>
      </c>
      <c r="AI18" s="171">
        <f>COUNTIFS(WTG_BD!$G:$G,Analytics!AI$4,WTG_BD!$F:$F,"&gt;="&amp;Analytics!$B$2,WTG_BD!$F:$F,"&lt;="&amp;Analytics!$B$3)</f>
        <v>5</v>
      </c>
      <c r="AJ18" s="171">
        <f>COUNTIFS(WTG_BD!$G:$G,Analytics!AJ$4,WTG_BD!$F:$F,"&gt;="&amp;Analytics!$B$2,WTG_BD!$F:$F,"&lt;="&amp;Analytics!$B$3)</f>
        <v>1</v>
      </c>
      <c r="AK18" s="171">
        <f>COUNTIFS(WTG_BD!$G:$G,Analytics!AK$4,WTG_BD!$F:$F,"&gt;="&amp;Analytics!$B$2,WTG_BD!$F:$F,"&lt;="&amp;Analytics!$B$3)</f>
        <v>3</v>
      </c>
      <c r="AL18" s="171">
        <f>COUNTIFS(WTG_BD!$G:$G,Analytics!AL$4,WTG_BD!$F:$F,"&gt;="&amp;Analytics!$B$2,WTG_BD!$F:$F,"&lt;="&amp;Analytics!$B$3)</f>
        <v>2</v>
      </c>
      <c r="AM18" s="171">
        <f>COUNTIFS(WTG_BD!$G:$G,Analytics!AM$4,WTG_BD!$F:$F,"&gt;="&amp;Analytics!$B$2,WTG_BD!$F:$F,"&lt;="&amp;Analytics!$B$3)</f>
        <v>3</v>
      </c>
      <c r="AN18" s="171">
        <f>COUNTIFS(WTG_BD!$G:$G,Analytics!AN$4,WTG_BD!$F:$F,"&gt;="&amp;Analytics!$B$2,WTG_BD!$F:$F,"&lt;="&amp;Analytics!$B$3)</f>
        <v>2</v>
      </c>
      <c r="AO18" s="171">
        <f>COUNTIFS(WTG_BD!$G:$G,Analytics!AO$4,WTG_BD!$F:$F,"&gt;="&amp;Analytics!$B$2,WTG_BD!$F:$F,"&lt;="&amp;Analytics!$B$3)</f>
        <v>1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5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5.4555555555555548</v>
      </c>
      <c r="E19" s="171">
        <f t="shared" si="35"/>
        <v>2.8055555555555549</v>
      </c>
      <c r="F19" s="171">
        <f t="shared" si="35"/>
        <v>6.666666666666643E-2</v>
      </c>
      <c r="G19" s="171">
        <f t="shared" si="35"/>
        <v>2.7333333333333325</v>
      </c>
      <c r="H19" s="171">
        <f t="shared" si="35"/>
        <v>2.2111111111111112</v>
      </c>
      <c r="I19" s="171">
        <f t="shared" si="35"/>
        <v>0.58333333333333337</v>
      </c>
      <c r="J19" s="171">
        <f t="shared" si="35"/>
        <v>1.2333333333333316</v>
      </c>
      <c r="K19" s="171">
        <f t="shared" si="35"/>
        <v>1.679166666666666</v>
      </c>
      <c r="L19" s="171">
        <f t="shared" si="35"/>
        <v>0.77499999999999913</v>
      </c>
      <c r="M19" s="171">
        <f t="shared" si="35"/>
        <v>1.0500000000000016</v>
      </c>
      <c r="N19" s="171">
        <f t="shared" si="35"/>
        <v>1.5944444444444443</v>
      </c>
      <c r="O19" s="171">
        <f t="shared" si="35"/>
        <v>0</v>
      </c>
      <c r="P19" s="171">
        <f t="shared" si="35"/>
        <v>1.6500000000000021</v>
      </c>
      <c r="Q19" s="171">
        <f t="shared" si="35"/>
        <v>0</v>
      </c>
      <c r="R19" s="171">
        <f t="shared" si="35"/>
        <v>0.58333333333333126</v>
      </c>
      <c r="S19" s="171">
        <f t="shared" si="35"/>
        <v>4.9999999999999822E-2</v>
      </c>
      <c r="T19" s="171">
        <f t="shared" si="35"/>
        <v>6.1388888888888884</v>
      </c>
      <c r="U19" s="171">
        <f t="shared" si="35"/>
        <v>1.133333333333336</v>
      </c>
      <c r="V19" s="171">
        <f t="shared" si="35"/>
        <v>1.7416666666666658</v>
      </c>
      <c r="W19" s="171">
        <f t="shared" si="35"/>
        <v>2.0694444444444446</v>
      </c>
      <c r="X19" s="171">
        <f t="shared" si="35"/>
        <v>0.76666666666666661</v>
      </c>
      <c r="Y19" s="171">
        <f>IFERROR(Y17/Y18,0)</f>
        <v>2.4388888888888891</v>
      </c>
      <c r="Z19" s="171">
        <f t="shared" si="35"/>
        <v>0.83333333333333437</v>
      </c>
      <c r="AA19" s="171">
        <f t="shared" si="35"/>
        <v>0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1.3277777777777775</v>
      </c>
      <c r="AE19" s="171">
        <f t="shared" si="35"/>
        <v>1.1583333333333328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0.28888888888888964</v>
      </c>
      <c r="AI19" s="171">
        <f t="shared" si="35"/>
        <v>0.27333333333333398</v>
      </c>
      <c r="AJ19" s="171">
        <f t="shared" si="35"/>
        <v>2.8166666666666673</v>
      </c>
      <c r="AK19" s="171">
        <f t="shared" si="35"/>
        <v>0.70000000000000107</v>
      </c>
      <c r="AL19" s="171">
        <f t="shared" si="35"/>
        <v>0.22499999999999987</v>
      </c>
      <c r="AM19" s="171">
        <f t="shared" si="35"/>
        <v>0.70555555555555571</v>
      </c>
      <c r="AN19" s="171">
        <f t="shared" si="35"/>
        <v>0.31666666666666621</v>
      </c>
      <c r="AO19" s="171">
        <f t="shared" si="35"/>
        <v>0.43333333333333446</v>
      </c>
      <c r="AP19" s="171">
        <f t="shared" si="35"/>
        <v>0.35833333333333206</v>
      </c>
      <c r="AQ19" s="171">
        <f t="shared" si="35"/>
        <v>0.83666666666666634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1.3298042929292933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210.54444444444445</v>
      </c>
      <c r="E20" s="171">
        <f t="shared" si="36"/>
        <v>105.19444444444444</v>
      </c>
      <c r="F20" s="171">
        <f t="shared" si="36"/>
        <v>647.93333333333328</v>
      </c>
      <c r="G20" s="171">
        <f t="shared" si="36"/>
        <v>105.26666666666667</v>
      </c>
      <c r="H20" s="171">
        <f t="shared" si="36"/>
        <v>213.78888888888889</v>
      </c>
      <c r="I20" s="171">
        <f t="shared" si="36"/>
        <v>107.41666666666667</v>
      </c>
      <c r="J20" s="171">
        <f t="shared" si="36"/>
        <v>646.76666666666665</v>
      </c>
      <c r="K20" s="171">
        <f t="shared" si="36"/>
        <v>160.32083333333333</v>
      </c>
      <c r="L20" s="171">
        <f t="shared" si="36"/>
        <v>161.22499999999999</v>
      </c>
      <c r="M20" s="171">
        <f t="shared" si="36"/>
        <v>646.95000000000005</v>
      </c>
      <c r="N20" s="171">
        <f t="shared" si="36"/>
        <v>106.40555555555555</v>
      </c>
      <c r="O20" s="171">
        <f t="shared" si="36"/>
        <v>648</v>
      </c>
      <c r="P20" s="171">
        <f t="shared" si="36"/>
        <v>646.35</v>
      </c>
      <c r="Q20" s="171">
        <f t="shared" si="36"/>
        <v>648</v>
      </c>
      <c r="R20" s="171">
        <f t="shared" si="36"/>
        <v>647.41666666666663</v>
      </c>
      <c r="S20" s="171">
        <f t="shared" si="36"/>
        <v>647.95000000000005</v>
      </c>
      <c r="T20" s="171">
        <f t="shared" si="36"/>
        <v>209.86111111111111</v>
      </c>
      <c r="U20" s="171">
        <f t="shared" si="36"/>
        <v>322.86666666666667</v>
      </c>
      <c r="V20" s="171">
        <f t="shared" si="36"/>
        <v>322.25833333333333</v>
      </c>
      <c r="W20" s="171">
        <f t="shared" si="36"/>
        <v>105.93055555555556</v>
      </c>
      <c r="X20" s="171">
        <f t="shared" si="36"/>
        <v>647.23333333333335</v>
      </c>
      <c r="Y20" s="171">
        <f t="shared" si="36"/>
        <v>213.5611111111111</v>
      </c>
      <c r="Z20" s="171">
        <f t="shared" si="36"/>
        <v>323.16666666666669</v>
      </c>
      <c r="AA20" s="171">
        <f t="shared" si="36"/>
        <v>648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214.67222222222222</v>
      </c>
      <c r="AE20" s="171">
        <f t="shared" si="36"/>
        <v>160.84166666666667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215.71111111111111</v>
      </c>
      <c r="AI20" s="171">
        <f t="shared" si="36"/>
        <v>129.32666666666665</v>
      </c>
      <c r="AJ20" s="171">
        <f t="shared" si="36"/>
        <v>645.18333333333328</v>
      </c>
      <c r="AK20" s="171">
        <f t="shared" si="36"/>
        <v>215.29999999999998</v>
      </c>
      <c r="AL20" s="171">
        <f t="shared" si="36"/>
        <v>323.77499999999998</v>
      </c>
      <c r="AM20" s="171">
        <f t="shared" si="36"/>
        <v>215.29444444444445</v>
      </c>
      <c r="AN20" s="171">
        <f t="shared" si="36"/>
        <v>323.68333333333334</v>
      </c>
      <c r="AO20" s="171">
        <f t="shared" si="36"/>
        <v>647.56666666666672</v>
      </c>
      <c r="AP20" s="171">
        <f t="shared" si="36"/>
        <v>323.64166666666665</v>
      </c>
      <c r="AQ20" s="171">
        <f t="shared" si="36"/>
        <v>128.76333333333335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354.33383207070693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10.105000000000002</v>
      </c>
      <c r="C21" s="171">
        <f>AVERAGEIFS(Input_Raw!AY:AY,Input_Raw!$A:$A,"&gt;="&amp;Analytics!$B$2,Input_Raw!$A:$A,"&lt;="&amp;Analytics!$B$3)</f>
        <v>9.7560714285714294</v>
      </c>
      <c r="D21" s="171">
        <f>AVERAGEIFS(Input_Raw!AZ:AZ,Input_Raw!$A:$A,"&gt;="&amp;Analytics!$B$2,Input_Raw!$A:$A,"&lt;="&amp;Analytics!$B$3)</f>
        <v>9.4685714285714262</v>
      </c>
      <c r="E21" s="171">
        <f>AVERAGEIFS(Input_Raw!BA:BA,Input_Raw!$A:$A,"&gt;="&amp;Analytics!$B$2,Input_Raw!$A:$A,"&lt;="&amp;Analytics!$B$3)</f>
        <v>9.8667857142857152</v>
      </c>
      <c r="F21" s="171">
        <f>AVERAGEIFS(Input_Raw!BB:BB,Input_Raw!$A:$A,"&gt;="&amp;Analytics!$B$2,Input_Raw!$A:$A,"&lt;="&amp;Analytics!$B$3)</f>
        <v>10.012857142857143</v>
      </c>
      <c r="G21" s="171">
        <f>AVERAGEIFS(Input_Raw!BC:BC,Input_Raw!$A:$A,"&gt;="&amp;Analytics!$B$2,Input_Raw!$A:$A,"&lt;="&amp;Analytics!$B$3)</f>
        <v>10.222142857142856</v>
      </c>
      <c r="H21" s="171">
        <f>AVERAGEIFS(Input_Raw!BD:BD,Input_Raw!$A:$A,"&gt;="&amp;Analytics!$B$2,Input_Raw!$A:$A,"&lt;="&amp;Analytics!$B$3)</f>
        <v>9.7946428571428594</v>
      </c>
      <c r="I21" s="171">
        <f>AVERAGEIFS(Input_Raw!BE:BE,Input_Raw!$A:$A,"&gt;="&amp;Analytics!$B$2,Input_Raw!$A:$A,"&lt;="&amp;Analytics!$B$3)</f>
        <v>9.1053571428571427</v>
      </c>
      <c r="J21" s="171">
        <f>AVERAGEIFS(Input_Raw!BF:BF,Input_Raw!$A:$A,"&gt;="&amp;Analytics!$B$2,Input_Raw!$A:$A,"&lt;="&amp;Analytics!$B$3)</f>
        <v>8.3092857142857159</v>
      </c>
      <c r="K21" s="171">
        <f>AVERAGEIFS(Input_Raw!BG:BG,Input_Raw!$A:$A,"&gt;="&amp;Analytics!$B$2,Input_Raw!$A:$A,"&lt;="&amp;Analytics!$B$3)</f>
        <v>9.0421428571428546</v>
      </c>
      <c r="L21" s="171">
        <f>AVERAGEIFS(Input_Raw!BH:BH,Input_Raw!$A:$A,"&gt;="&amp;Analytics!$B$2,Input_Raw!$A:$A,"&lt;="&amp;Analytics!$B$3)</f>
        <v>9.6232142857142868</v>
      </c>
      <c r="M21" s="171">
        <f>AVERAGEIFS(Input_Raw!BI:BI,Input_Raw!$A:$A,"&gt;="&amp;Analytics!$B$2,Input_Raw!$A:$A,"&lt;="&amp;Analytics!$B$3)</f>
        <v>10.608214285714286</v>
      </c>
      <c r="N21" s="171">
        <f>AVERAGEIFS(Input_Raw!BJ:BJ,Input_Raw!$A:$A,"&gt;="&amp;Analytics!$B$2,Input_Raw!$A:$A,"&lt;="&amp;Analytics!$B$3)</f>
        <v>9.6592857142857138</v>
      </c>
      <c r="O21" s="171">
        <f>AVERAGEIFS(Input_Raw!BK:BK,Input_Raw!$A:$A,"&gt;="&amp;Analytics!$B$2,Input_Raw!$A:$A,"&lt;="&amp;Analytics!$B$3)</f>
        <v>9.2842857142857138</v>
      </c>
      <c r="P21" s="171">
        <f>AVERAGEIFS(Input_Raw!BL:BL,Input_Raw!$A:$A,"&gt;="&amp;Analytics!$B$2,Input_Raw!$A:$A,"&lt;="&amp;Analytics!$B$3)</f>
        <v>9.4967857142857177</v>
      </c>
      <c r="Q21" s="171">
        <f>AVERAGEIFS(Input_Raw!BM:BM,Input_Raw!$A:$A,"&gt;="&amp;Analytics!$B$2,Input_Raw!$A:$A,"&lt;="&amp;Analytics!$B$3)</f>
        <v>9.4474999999999998</v>
      </c>
      <c r="R21" s="171">
        <f>AVERAGEIFS(Input_Raw!BN:BN,Input_Raw!$A:$A,"&gt;="&amp;Analytics!$B$2,Input_Raw!$A:$A,"&lt;="&amp;Analytics!$B$3)</f>
        <v>9.949285714285713</v>
      </c>
      <c r="S21" s="171">
        <f>AVERAGEIFS(Input_Raw!BO:BO,Input_Raw!$A:$A,"&gt;="&amp;Analytics!$B$2,Input_Raw!$A:$A,"&lt;="&amp;Analytics!$B$3)</f>
        <v>9.4707142857142852</v>
      </c>
      <c r="T21" s="171">
        <f>AVERAGEIFS(Input_Raw!BP:BP,Input_Raw!$A:$A,"&gt;="&amp;Analytics!$B$2,Input_Raw!$A:$A,"&lt;="&amp;Analytics!$B$3)</f>
        <v>8.9914285714285711</v>
      </c>
      <c r="U21" s="171">
        <f>AVERAGEIFS(Input_Raw!BQ:BQ,Input_Raw!$A:$A,"&gt;="&amp;Analytics!$B$2,Input_Raw!$A:$A,"&lt;="&amp;Analytics!$B$3)</f>
        <v>8.2060714285714287</v>
      </c>
      <c r="V21" s="171">
        <f>AVERAGEIFS(Input_Raw!BR:BR,Input_Raw!$A:$A,"&gt;="&amp;Analytics!$B$2,Input_Raw!$A:$A,"&lt;="&amp;Analytics!$B$3)</f>
        <v>9.6478571428571431</v>
      </c>
      <c r="W21" s="171">
        <f>AVERAGEIFS(Input_Raw!BS:BS,Input_Raw!$A:$A,"&gt;="&amp;Analytics!$B$2,Input_Raw!$A:$A,"&lt;="&amp;Analytics!$B$3)</f>
        <v>9.0153571428571411</v>
      </c>
      <c r="X21" s="171">
        <f>AVERAGEIFS(Input_Raw!BT:BT,Input_Raw!$A:$A,"&gt;="&amp;Analytics!$B$2,Input_Raw!$A:$A,"&lt;="&amp;Analytics!$B$3)</f>
        <v>8.7799999999999994</v>
      </c>
      <c r="Y21" s="171">
        <f>AVERAGEIFS(Input_Raw!BU:BU,Input_Raw!$A:$A,"&gt;="&amp;Analytics!$B$2,Input_Raw!$A:$A,"&lt;="&amp;Analytics!$B$3)</f>
        <v>9.7807142857142839</v>
      </c>
      <c r="Z21" s="171">
        <f>AVERAGEIFS(Input_Raw!BV:BV,Input_Raw!$A:$A,"&gt;="&amp;Analytics!$B$2,Input_Raw!$A:$A,"&lt;="&amp;Analytics!$B$3)</f>
        <v>9.5853571428571431</v>
      </c>
      <c r="AA21" s="171">
        <f>AVERAGEIFS(Input_Raw!BW:BW,Input_Raw!$A:$A,"&gt;="&amp;Analytics!$B$2,Input_Raw!$A:$A,"&lt;="&amp;Analytics!$B$3)</f>
        <v>9.5439285714285713</v>
      </c>
      <c r="AB21" s="171">
        <f>AVERAGEIFS(Input_Raw!BX:BX,Input_Raw!$A:$A,"&gt;="&amp;Analytics!$B$2,Input_Raw!$A:$A,"&lt;="&amp;Analytics!$B$3)</f>
        <v>8.6414285714285715</v>
      </c>
      <c r="AC21" s="171">
        <f>AVERAGEIFS(Input_Raw!BY:BY,Input_Raw!$A:$A,"&gt;="&amp;Analytics!$B$2,Input_Raw!$A:$A,"&lt;="&amp;Analytics!$B$3)</f>
        <v>8.6832142857142838</v>
      </c>
      <c r="AD21" s="171">
        <f>AVERAGEIFS(Input_Raw!BZ:BZ,Input_Raw!$A:$A,"&gt;="&amp;Analytics!$B$2,Input_Raw!$A:$A,"&lt;="&amp;Analytics!$B$3)</f>
        <v>9.9</v>
      </c>
      <c r="AE21" s="171">
        <f>AVERAGEIFS(Input_Raw!CA:CA,Input_Raw!$A:$A,"&gt;="&amp;Analytics!$B$2,Input_Raw!$A:$A,"&lt;="&amp;Analytics!$B$3)</f>
        <v>9.2828571428571411</v>
      </c>
      <c r="AF21" s="171">
        <f>AVERAGEIFS(Input_Raw!CB:CB,Input_Raw!$A:$A,"&gt;="&amp;Analytics!$B$2,Input_Raw!$A:$A,"&lt;="&amp;Analytics!$B$3)</f>
        <v>9.5432142857142868</v>
      </c>
      <c r="AG21" s="171">
        <f>AVERAGEIFS(Input_Raw!CC:CC,Input_Raw!$A:$A,"&gt;="&amp;Analytics!$B$2,Input_Raw!$A:$A,"&lt;="&amp;Analytics!$B$3)</f>
        <v>8.7010714285714279</v>
      </c>
      <c r="AH21" s="171">
        <f>AVERAGEIFS(Input_Raw!CD:CD,Input_Raw!$A:$A,"&gt;="&amp;Analytics!$B$2,Input_Raw!$A:$A,"&lt;="&amp;Analytics!$B$3)</f>
        <v>10.170357142857144</v>
      </c>
      <c r="AI21" s="171">
        <f>AVERAGEIFS(Input_Raw!CE:CE,Input_Raw!$A:$A,"&gt;="&amp;Analytics!$B$2,Input_Raw!$A:$A,"&lt;="&amp;Analytics!$B$3)</f>
        <v>10.275714285714285</v>
      </c>
      <c r="AJ21" s="171">
        <f>AVERAGEIFS(Input_Raw!CF:CF,Input_Raw!$A:$A,"&gt;="&amp;Analytics!$B$2,Input_Raw!$A:$A,"&lt;="&amp;Analytics!$B$3)</f>
        <v>8.5053571428571448</v>
      </c>
      <c r="AK21" s="171">
        <f>AVERAGEIFS(Input_Raw!CG:CG,Input_Raw!$A:$A,"&gt;="&amp;Analytics!$B$2,Input_Raw!$A:$A,"&lt;="&amp;Analytics!$B$3)</f>
        <v>11.652500000000003</v>
      </c>
      <c r="AL21" s="171">
        <f>AVERAGEIFS(Input_Raw!CH:CH,Input_Raw!$A:$A,"&gt;="&amp;Analytics!$B$2,Input_Raw!$A:$A,"&lt;="&amp;Analytics!$B$3)</f>
        <v>11.056428571428571</v>
      </c>
      <c r="AM21" s="171">
        <f>AVERAGEIFS(Input_Raw!CI:CI,Input_Raw!$A:$A,"&gt;="&amp;Analytics!$B$2,Input_Raw!$A:$A,"&lt;="&amp;Analytics!$B$3)</f>
        <v>10.236428571428572</v>
      </c>
      <c r="AN21" s="171">
        <f>AVERAGEIFS(Input_Raw!CJ:CJ,Input_Raw!$A:$A,"&gt;="&amp;Analytics!$B$2,Input_Raw!$A:$A,"&lt;="&amp;Analytics!$B$3)</f>
        <v>10.673214285714284</v>
      </c>
      <c r="AO21" s="171">
        <f>AVERAGEIFS(Input_Raw!CK:CK,Input_Raw!$A:$A,"&gt;="&amp;Analytics!$B$2,Input_Raw!$A:$A,"&lt;="&amp;Analytics!$B$3)</f>
        <v>9.4539285714285732</v>
      </c>
      <c r="AP21" s="171">
        <f>AVERAGEIFS(Input_Raw!CL:CL,Input_Raw!$A:$A,"&gt;="&amp;Analytics!$B$2,Input_Raw!$A:$A,"&lt;="&amp;Analytics!$B$3)</f>
        <v>10.15892857142857</v>
      </c>
      <c r="AQ21" s="171">
        <f>AVERAGEIFS(Input_Raw!CM:CM,Input_Raw!$A:$A,"&gt;="&amp;Analytics!$B$2,Input_Raw!$A:$A,"&lt;="&amp;Analytics!$B$3)</f>
        <v>9.9096428571428561</v>
      </c>
      <c r="AR21" s="171">
        <f>AVERAGEIFS(Input_Raw!CN:CN,Input_Raw!$A:$A,"&gt;="&amp;Analytics!$B$2,Input_Raw!$A:$A,"&lt;="&amp;Analytics!$B$3)</f>
        <v>11.465714285714286</v>
      </c>
      <c r="AS21" s="171">
        <f>AVERAGEIFS(Input_Raw!CO:CO,Input_Raw!$A:$A,"&gt;="&amp;Analytics!$B$2,Input_Raw!$A:$A,"&lt;="&amp;Analytics!$B$3)</f>
        <v>10.320714285714287</v>
      </c>
      <c r="AT21" s="86">
        <f t="shared" si="2"/>
        <v>9.6682629870129855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7" t="s">
        <v>140</v>
      </c>
      <c r="B26" s="377"/>
      <c r="C26" s="377"/>
      <c r="D26" s="377"/>
      <c r="E26" s="377"/>
      <c r="F26" s="377"/>
      <c r="G26" s="377"/>
    </row>
    <row r="28" spans="1:46" ht="29.15" customHeight="1">
      <c r="D28" s="373" t="s">
        <v>141</v>
      </c>
      <c r="E28" s="373"/>
      <c r="F28" s="374" t="s">
        <v>142</v>
      </c>
      <c r="G28" s="375"/>
    </row>
    <row r="29" spans="1:46" ht="29.15" customHeight="1">
      <c r="D29" s="376" t="e">
        <f>(MAX(#REF!)-#REF!)*24</f>
        <v>#REF!</v>
      </c>
      <c r="E29" s="376"/>
      <c r="F29" s="373" t="e">
        <f>(MAX(#REF!)-#REF!)*24</f>
        <v>#REF!</v>
      </c>
      <c r="G29" s="373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L122" sqref="AL122"/>
    </sheetView>
  </sheetViews>
  <sheetFormatPr defaultColWidth="8.54296875" defaultRowHeight="14.5"/>
  <cols>
    <col min="1" max="1" width="10.089843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089843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>
        <f>IFERROR(_xlfn.XLOOKUP($A117,Input_Raw!$A:$A,Input_Raw!$CQ:$CQ),"")</f>
        <v>7.4715909090909092</v>
      </c>
      <c r="N117" s="110">
        <f>IFERROR(_xlfn.XLOOKUP($A117,Input_Raw!$A:$A,Input_Raw!$CR:$CR),"")</f>
        <v>9.0299999999999994</v>
      </c>
      <c r="O117" s="141">
        <f t="shared" si="10"/>
        <v>0.9991267822597979</v>
      </c>
      <c r="P117" s="141">
        <f>IFERROR(1-SUMIF(WTG_BD!$F:$F,$A117,WTG_BD!$AA:$AA)/($AA117+SUMIF(WTG_BD!$F:$F,$A117,WTG_BD!$AA:$AA)),"")</f>
        <v>0.9991267822597979</v>
      </c>
      <c r="Q117" s="141">
        <f>IFERROR(1-SUMIF(IGA_BD!$F:$F,$A117,IGA_BD!$W:$W)/($AA117+SUMIF(IGA_BD!$F:$F,$A117,IGA_BD!$W:$W)),"")</f>
        <v>1</v>
      </c>
      <c r="R117" s="141">
        <f>IFERROR(1-SUMIF(Grid_BD!$F:$F,$A117,Grid_BD!$Y:$Y)/($AA117+SUMIF(Grid_BD!$F:$F,$A117,Grid_BD!$Y:$Y)),"")</f>
        <v>0.97412571129189529</v>
      </c>
      <c r="S117" s="108"/>
      <c r="T117" s="140"/>
      <c r="U117" s="141"/>
      <c r="V117" s="108"/>
      <c r=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IFERROR(_xlfn.XLOOKUP($A117,Input_Raw!$A:$A,Input_Raw!DJ:DJ)*1000,"")</f>
        <v>669351</v>
      </c>
      <c r="Z117" s="108">
        <f>IFERROR(_xlfn.XLOOKUP($A117,Input_Raw!$A:$A,Input_Raw!DK:DK)*1000,"")</f>
        <v>0</v>
      </c>
      <c r="AA117" s="138">
        <f t="shared" si="12"/>
        <v>669351</v>
      </c>
      <c r="AB117" s="108">
        <f>IFERROR(_xlfn.XLOOKUP($A117,Input_Raw!$A:$A,Input_Raw!$DR:$DR),"")</f>
        <v>70.400000000000006</v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>
        <f>IFERROR(_xlfn.XLOOKUP($A117,Input_Raw!$A:$A,Input_Raw!$DP:$DP),"")</f>
        <v>626.04</v>
      </c>
      <c r="AJ117" s="108"/>
      <c r="AK117" s="108"/>
      <c r="AL117" s="108"/>
      <c r="AM117" s="108"/>
      <c r="AN117" s="132">
        <f>IFERROR(_xlfn.XLOOKUP($A117,Input_Raw!$A:$A,Input_Raw!$DL:$DL),"")</f>
        <v>0</v>
      </c>
      <c r="AO117" s="142">
        <f>IFERROR((_xlfn.XLOOKUP($A117,'WTG Reactive Power'!$A:$A,'WTG Reactive Power'!$AW:$AW))/X117,"")</f>
        <v>1.9579603401902239E-4</v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>
        <f>IFERROR(_xlfn.XLOOKUP($A118,Input_Raw!$A:$A,Input_Raw!$CQ:$CQ),"")</f>
        <v>8.9670454545454543</v>
      </c>
      <c r="N118" s="110">
        <f>IFERROR(_xlfn.XLOOKUP($A118,Input_Raw!$A:$A,Input_Raw!$CR:$CR),"")</f>
        <v>10.45</v>
      </c>
      <c r="O118" s="141">
        <f t="shared" si="10"/>
        <v>0.99971164523579681</v>
      </c>
      <c r="P118" s="141">
        <f>IFERROR(1-SUMIF(WTG_BD!$F:$F,$A118,WTG_BD!$AA:$AA)/($AA118+SUMIF(WTG_BD!$F:$F,$A118,WTG_BD!$AA:$AA)),"")</f>
        <v>0.99971164523579681</v>
      </c>
      <c r="Q118" s="141">
        <f>IFERROR(1-SUMIF(IGA_BD!$F:$F,$A118,IGA_BD!$W:$W)/($AA118+SUMIF(IGA_BD!$F:$F,$A118,IGA_BD!$W:$W)),"")</f>
        <v>1</v>
      </c>
      <c r="R118" s="141">
        <f>IFERROR(1-SUMIF(Grid_BD!$F:$F,$A118,Grid_BD!$Y:$Y)/($AA118+SUMIF(Grid_BD!$F:$F,$A118,Grid_BD!$Y:$Y)),"")</f>
        <v>1</v>
      </c>
      <c r="S118" s="108"/>
      <c r="T118" s="140"/>
      <c r="U118" s="141"/>
      <c r="V118" s="108"/>
      <c r="W118" s="142">
        <f t="shared" si="11"/>
        <v>0.61968454071969692</v>
      </c>
      <c r="X118" s="108">
        <f>IFERROR(_xlfn.XLOOKUP($A118,Input_Raw!$A:$A,Input_Raw!$CP:$CP)*1000,"")</f>
        <v>1047019</v>
      </c>
      <c r="Y118" s="108">
        <f>IFERROR(_xlfn.XLOOKUP($A118,Input_Raw!$A:$A,Input_Raw!DJ:DJ)*1000,"")</f>
        <v>1047019</v>
      </c>
      <c r="Z118" s="108">
        <f>IFERROR(_xlfn.XLOOKUP($A118,Input_Raw!$A:$A,Input_Raw!DK:DK)*1000,"")</f>
        <v>0</v>
      </c>
      <c r="AA118" s="138">
        <f t="shared" si="12"/>
        <v>1047019</v>
      </c>
      <c r="AB118" s="108">
        <f>IFERROR(_xlfn.XLOOKUP($A118,Input_Raw!$A:$A,Input_Raw!$DR:$DR),"")</f>
        <v>70.400000000000006</v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>
        <f>IFERROR(_xlfn.XLOOKUP($A118,Input_Raw!$A:$A,Input_Raw!$DP:$DP),"")</f>
        <v>1010.49</v>
      </c>
      <c r="AJ118" s="108"/>
      <c r="AK118" s="108"/>
      <c r="AL118" s="108"/>
      <c r="AM118" s="108"/>
      <c r="AN118" s="132">
        <f>IFERROR(_xlfn.XLOOKUP($A118,Input_Raw!$A:$A,Input_Raw!$DL:$DL),"")</f>
        <v>0</v>
      </c>
      <c r="AO118" s="142">
        <f>IFERROR((_xlfn.XLOOKUP($A118,'WTG Reactive Power'!$A:$A,'WTG Reactive Power'!$AW:$AW))/X118,"")</f>
        <v>1.9398774536724417E-4</v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>
        <f>IFERROR(_xlfn.XLOOKUP($A119,Input_Raw!$A:$A,Input_Raw!$CQ:$CQ),"")</f>
        <v>9.5636363636363608</v>
      </c>
      <c r="N119" s="110">
        <f>IFERROR(_xlfn.XLOOKUP($A119,Input_Raw!$A:$A,Input_Raw!$CR:$CR),"")</f>
        <v>11.49</v>
      </c>
      <c r="O119" s="141">
        <f t="shared" si="10"/>
        <v>0.99606382525980008</v>
      </c>
      <c r="P119" s="141">
        <f>IFERROR(1-SUMIF(WTG_BD!$F:$F,$A119,WTG_BD!$AA:$AA)/($AA119+SUMIF(WTG_BD!$F:$F,$A119,WTG_BD!$AA:$AA)),"")</f>
        <v>0.99857904264469588</v>
      </c>
      <c r="Q119" s="141">
        <f>IFERROR(1-SUMIF(IGA_BD!$F:$F,$A119,IGA_BD!$W:$W)/($AA119+SUMIF(IGA_BD!$F:$F,$A119,IGA_BD!$W:$W)),"")</f>
        <v>0.99748120351270908</v>
      </c>
      <c r="R119" s="141">
        <f>IFERROR(1-SUMIF(Grid_BD!$F:$F,$A119,Grid_BD!$Y:$Y)/($AA119+SUMIF(Grid_BD!$F:$F,$A119,Grid_BD!$Y:$Y)),"")</f>
        <v>1</v>
      </c>
      <c r="S119" s="108"/>
      <c r="T119" s="140"/>
      <c r="U119" s="141"/>
      <c r="V119" s="108"/>
      <c r="W119" s="142">
        <f t="shared" si="11"/>
        <v>0.70291725852272713</v>
      </c>
      <c r="X119" s="108">
        <f>IFERROR(_xlfn.XLOOKUP($A119,Input_Raw!$A:$A,Input_Raw!$CP:$CP)*1000,"")</f>
        <v>1187649</v>
      </c>
      <c r="Y119" s="108">
        <f>IFERROR(_xlfn.XLOOKUP($A119,Input_Raw!$A:$A,Input_Raw!DJ:DJ)*1000,"")</f>
        <v>1187649</v>
      </c>
      <c r="Z119" s="108">
        <f>IFERROR(_xlfn.XLOOKUP($A119,Input_Raw!$A:$A,Input_Raw!DK:DK)*1000,"")</f>
        <v>0</v>
      </c>
      <c r="AA119" s="138">
        <f t="shared" si="12"/>
        <v>1187649</v>
      </c>
      <c r="AB119" s="108">
        <f>IFERROR(_xlfn.XLOOKUP($A119,Input_Raw!$A:$A,Input_Raw!$DR:$DR),"")</f>
        <v>70.400000000000006</v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>
        <f>IFERROR(_xlfn.XLOOKUP($A119,Input_Raw!$A:$A,Input_Raw!$DP:$DP),"")</f>
        <v>1150.5899999999999</v>
      </c>
      <c r="AJ119" s="108"/>
      <c r="AK119" s="108"/>
      <c r="AL119" s="108"/>
      <c r="AM119" s="108"/>
      <c r="AN119" s="132">
        <f>IFERROR(_xlfn.XLOOKUP($A119,Input_Raw!$A:$A,Input_Raw!$DL:$DL),"")</f>
        <v>2.2204460492503131E-16</v>
      </c>
      <c r="AO119" s="142">
        <f>IFERROR((_xlfn.XLOOKUP($A119,'WTG Reactive Power'!$A:$A,'WTG Reactive Power'!$AW:$AW))/X119,"")</f>
        <v>1.9526266107803457E-4</v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>
        <f>IFERROR(_xlfn.XLOOKUP($A120,Input_Raw!$A:$A,Input_Raw!$CQ:$CQ),"")</f>
        <v>11.19</v>
      </c>
      <c r="N120" s="110">
        <f>IFERROR(_xlfn.XLOOKUP($A120,Input_Raw!$A:$A,Input_Raw!$CR:$CR),"")</f>
        <v>13.38</v>
      </c>
      <c r="O120" s="141">
        <f t="shared" si="10"/>
        <v>0.93214363134462952</v>
      </c>
      <c r="P120" s="141">
        <f>IFERROR(1-SUMIF(WTG_BD!$F:$F,$A120,WTG_BD!$AA:$AA)/($AA120+SUMIF(WTG_BD!$F:$F,$A120,WTG_BD!$AA:$AA)),"")</f>
        <v>0.97287829245112234</v>
      </c>
      <c r="Q120" s="141">
        <f>IFERROR(1-SUMIF(IGA_BD!$F:$F,$A120,IGA_BD!$W:$W)/($AA120+SUMIF(IGA_BD!$F:$F,$A120,IGA_BD!$W:$W)),"")</f>
        <v>0.95812974611257518</v>
      </c>
      <c r="R120" s="141">
        <f>IFERROR(1-SUMIF(Grid_BD!$F:$F,$A120,Grid_BD!$Y:$Y)/($AA120+SUMIF(Grid_BD!$F:$F,$A120,Grid_BD!$Y:$Y)),"")</f>
        <v>1</v>
      </c>
      <c r="S120" s="108"/>
      <c r="T120" s="140"/>
      <c r="U120" s="141"/>
      <c r="V120" s="108"/>
      <c r="W120" s="142">
        <f t="shared" si="11"/>
        <v>0.81426964962121196</v>
      </c>
      <c r="X120" s="108">
        <f>IFERROR(_xlfn.XLOOKUP($A120,Input_Raw!$A:$A,Input_Raw!$CP:$CP)*1000,"")</f>
        <v>1375790</v>
      </c>
      <c r="Y120" s="108">
        <f>IFERROR(_xlfn.XLOOKUP($A120,Input_Raw!$A:$A,Input_Raw!DJ:DJ)*1000,"")</f>
        <v>1375790</v>
      </c>
      <c r="Z120" s="108">
        <f>IFERROR(_xlfn.XLOOKUP($A120,Input_Raw!$A:$A,Input_Raw!DK:DK)*1000,"")</f>
        <v>0</v>
      </c>
      <c r="AA120" s="138">
        <f t="shared" si="12"/>
        <v>1375790</v>
      </c>
      <c r="AB120" s="108">
        <f>IFERROR(_xlfn.XLOOKUP($A120,Input_Raw!$A:$A,Input_Raw!$DR:$DR),"")</f>
        <v>70.400000000000006</v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>
        <f>IFERROR(_xlfn.XLOOKUP($A120,Input_Raw!$A:$A,Input_Raw!$DP:$DP),"")</f>
        <v>1434.22</v>
      </c>
      <c r="AJ120" s="108"/>
      <c r="AK120" s="108"/>
      <c r="AL120" s="108"/>
      <c r="AM120" s="108"/>
      <c r="AN120" s="132">
        <f>IFERROR(_xlfn.XLOOKUP($A120,Input_Raw!$A:$A,Input_Raw!$DL:$DL),"")</f>
        <v>0</v>
      </c>
      <c r="AO120" s="142">
        <f>IFERROR((_xlfn.XLOOKUP($A120,'WTG Reactive Power'!$A:$A,'WTG Reactive Power'!$AW:$AW))/X120,"")</f>
        <v>1.9353887051560683E-4</v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>
        <f>IFERROR(_xlfn.XLOOKUP($A121,Input_Raw!$A:$A,Input_Raw!$CQ:$CQ),"")</f>
        <v>14.529318181818178</v>
      </c>
      <c r="N121" s="110">
        <f>IFERROR(_xlfn.XLOOKUP($A121,Input_Raw!$A:$A,Input_Raw!$CR:$CR),"")</f>
        <v>17.649999999999999</v>
      </c>
      <c r="O121" s="141">
        <f t="shared" si="10"/>
        <v>0.79872614877738413</v>
      </c>
      <c r="P121" s="141">
        <f>IFERROR(1-SUMIF(WTG_BD!$F:$F,$A121,WTG_BD!$AA:$AA)/($AA121+SUMIF(WTG_BD!$F:$F,$A121,WTG_BD!$AA:$AA)),"")</f>
        <v>0.9574379808504152</v>
      </c>
      <c r="Q121" s="141">
        <f>IFERROR(1-SUMIF(IGA_BD!$F:$F,$A121,IGA_BD!$W:$W)/($AA121+SUMIF(IGA_BD!$F:$F,$A121,IGA_BD!$W:$W)),"")</f>
        <v>0.8342327803498456</v>
      </c>
      <c r="R121" s="141">
        <f>IFERROR(1-SUMIF(Grid_BD!$F:$F,$A121,Grid_BD!$Y:$Y)/($AA121+SUMIF(Grid_BD!$F:$F,$A121,Grid_BD!$Y:$Y)),"")</f>
        <v>1</v>
      </c>
      <c r="S121" s="108"/>
      <c r="T121" s="140"/>
      <c r="U121" s="141"/>
      <c r="V121" s="108"/>
      <c r="W121" s="142">
        <f t="shared" si="11"/>
        <v>0.74162286931818167</v>
      </c>
      <c r="X121" s="108">
        <f>IFERROR(_xlfn.XLOOKUP($A121,Input_Raw!$A:$A,Input_Raw!$CP:$CP)*1000,"")</f>
        <v>1253046</v>
      </c>
      <c r="Y121" s="108">
        <f>IFERROR(_xlfn.XLOOKUP($A121,Input_Raw!$A:$A,Input_Raw!DJ:DJ)*1000,"")</f>
        <v>1253046</v>
      </c>
      <c r="Z121" s="108">
        <f>IFERROR(_xlfn.XLOOKUP($A121,Input_Raw!$A:$A,Input_Raw!DK:DK)*1000,"")</f>
        <v>0</v>
      </c>
      <c r="AA121" s="138">
        <f t="shared" si="12"/>
        <v>1253046</v>
      </c>
      <c r="AB121" s="108">
        <f>IFERROR(_xlfn.XLOOKUP($A121,Input_Raw!$A:$A,Input_Raw!$DR:$DR),"")</f>
        <v>70.400000000000006</v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>
        <f>IFERROR(_xlfn.XLOOKUP($A121,Input_Raw!$A:$A,Input_Raw!$DP:$DP),"")</f>
        <v>1370.72</v>
      </c>
      <c r="AJ121" s="108"/>
      <c r="AK121" s="108"/>
      <c r="AL121" s="108"/>
      <c r="AM121" s="108"/>
      <c r="AN121" s="132">
        <f>IFERROR(_xlfn.XLOOKUP($A121,Input_Raw!$A:$A,Input_Raw!$DL:$DL),"")</f>
        <v>0</v>
      </c>
      <c r="AO121" s="142">
        <f>IFERROR((_xlfn.XLOOKUP($A121,'WTG Reactive Power'!$A:$A,'WTG Reactive Power'!$AW:$AW))/X121,"")</f>
        <v>2.0334295083074893E-4</v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>
        <f>IFERROR(_xlfn.XLOOKUP($A122,Input_Raw!$A:$A,Input_Raw!$CQ:$CQ),"")</f>
        <v>14.096363636363636</v>
      </c>
      <c r="N122" s="110">
        <f>IFERROR(_xlfn.XLOOKUP($A122,Input_Raw!$A:$A,Input_Raw!$CR:$CR),"")</f>
        <v>16.73</v>
      </c>
      <c r="O122" s="141">
        <f t="shared" si="10"/>
        <v>0.98763264757032687</v>
      </c>
      <c r="P122" s="141">
        <f>IFERROR(1-SUMIF(WTG_BD!$F:$F,$A122,WTG_BD!$AA:$AA)/($AA122+SUMIF(WTG_BD!$F:$F,$A122,WTG_BD!$AA:$AA)),"")</f>
        <v>0.98763264757032687</v>
      </c>
      <c r="Q122" s="141">
        <f>IFERROR(1-SUMIF(IGA_BD!$F:$F,$A122,IGA_BD!$W:$W)/($AA122+SUMIF(IGA_BD!$F:$F,$A122,IGA_BD!$W:$W)),"")</f>
        <v>1</v>
      </c>
      <c r="R122" s="141">
        <f>IFERROR(1-SUMIF(Grid_BD!$F:$F,$A122,Grid_BD!$Y:$Y)/($AA122+SUMIF(Grid_BD!$F:$F,$A122,Grid_BD!$Y:$Y)),"")</f>
        <v>1</v>
      </c>
      <c r="S122" s="108"/>
      <c r="T122" s="140"/>
      <c r="U122" s="141"/>
      <c r="V122" s="108"/>
      <c r="W122" s="142">
        <f t="shared" si="11"/>
        <v>0.96027225378787862</v>
      </c>
      <c r="X122" s="108">
        <f>IFERROR(_xlfn.XLOOKUP($A122,Input_Raw!$A:$A,Input_Raw!$CP:$CP)*1000,"")</f>
        <v>1622476</v>
      </c>
      <c r="Y122" s="108">
        <f>IFERROR(_xlfn.XLOOKUP($A122,Input_Raw!$A:$A,Input_Raw!DJ:DJ)*1000,"")</f>
        <v>1622476</v>
      </c>
      <c r="Z122" s="108">
        <f>IFERROR(_xlfn.XLOOKUP($A122,Input_Raw!$A:$A,Input_Raw!DK:DK)*1000,"")</f>
        <v>0</v>
      </c>
      <c r="AA122" s="138">
        <f t="shared" si="12"/>
        <v>1622476</v>
      </c>
      <c r="AB122" s="108">
        <f>IFERROR(_xlfn.XLOOKUP($A122,Input_Raw!$A:$A,Input_Raw!$DR:$DR),"")</f>
        <v>70.400000000000006</v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>
        <f>IFERROR(_xlfn.XLOOKUP($A122,Input_Raw!$A:$A,Input_Raw!$DP:$DP),"")</f>
        <v>1666.19</v>
      </c>
      <c r="AJ122" s="108"/>
      <c r="AK122" s="108"/>
      <c r="AL122" s="108"/>
      <c r="AM122" s="108"/>
      <c r="AN122" s="132">
        <f>IFERROR(_xlfn.XLOOKUP($A122,Input_Raw!$A:$A,Input_Raw!$DL:$DL),"")</f>
        <v>0</v>
      </c>
      <c r="AO122" s="142">
        <f>IFERROR((_xlfn.XLOOKUP($A122,'WTG Reactive Power'!$A:$A,'WTG Reactive Power'!$AW:$AW))/X122,"")</f>
        <v>1.888282723442442E-4</v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>
        <f>IFERROR(_xlfn.XLOOKUP($A123,Input_Raw!$A:$A,Input_Raw!$CQ:$CQ),"")</f>
        <v>13.031818181818181</v>
      </c>
      <c r="N123" s="110">
        <f>IFERROR(_xlfn.XLOOKUP($A123,Input_Raw!$A:$A,Input_Raw!$CR:$CR),"")</f>
        <v>15.15</v>
      </c>
      <c r="O123" s="141">
        <f t="shared" si="10"/>
        <v>0.98044622994538499</v>
      </c>
      <c r="P123" s="141">
        <f>IFERROR(1-SUMIF(WTG_BD!$F:$F,$A123,WTG_BD!$AA:$AA)/($AA123+SUMIF(WTG_BD!$F:$F,$A123,WTG_BD!$AA:$AA)),"")</f>
        <v>0.98211680961549686</v>
      </c>
      <c r="Q123" s="141">
        <f>IFERROR(1-SUMIF(IGA_BD!$F:$F,$A123,IGA_BD!$W:$W)/($AA123+SUMIF(IGA_BD!$F:$F,$A123,IGA_BD!$W:$W)),"")</f>
        <v>0.99829900104167257</v>
      </c>
      <c r="R123" s="141">
        <f>IFERROR(1-SUMIF(Grid_BD!$F:$F,$A123,Grid_BD!$Y:$Y)/($AA123+SUMIF(Grid_BD!$F:$F,$A123,Grid_BD!$Y:$Y)),"")</f>
        <v>1</v>
      </c>
      <c r="S123" s="108"/>
      <c r="T123" s="140"/>
      <c r="U123" s="141"/>
      <c r="V123" s="108"/>
      <c r="W123" s="142">
        <f t="shared" si="11"/>
        <v>0.93646721117424225</v>
      </c>
      <c r="X123" s="108">
        <f>IFERROR(_xlfn.XLOOKUP($A123,Input_Raw!$A:$A,Input_Raw!$CP:$CP)*1000,"")</f>
        <v>1582255</v>
      </c>
      <c r="Y123" s="108">
        <f>IFERROR(_xlfn.XLOOKUP($A123,Input_Raw!$A:$A,Input_Raw!DJ:DJ)*1000,"")</f>
        <v>1582255</v>
      </c>
      <c r="Z123" s="108">
        <f>IFERROR(_xlfn.XLOOKUP($A123,Input_Raw!$A:$A,Input_Raw!DK:DK)*1000,"")</f>
        <v>0</v>
      </c>
      <c r="AA123" s="138">
        <f t="shared" si="12"/>
        <v>1582255</v>
      </c>
      <c r="AB123" s="108">
        <f>IFERROR(_xlfn.XLOOKUP($A123,Input_Raw!$A:$A,Input_Raw!$DR:$DR),"")</f>
        <v>70.400000000000006</v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>
        <f>IFERROR(_xlfn.XLOOKUP($A123,Input_Raw!$A:$A,Input_Raw!$DP:$DP),"")</f>
        <v>1643.41</v>
      </c>
      <c r="AJ123" s="108"/>
      <c r="AK123" s="108"/>
      <c r="AL123" s="108"/>
      <c r="AM123" s="108"/>
      <c r="AN123" s="132">
        <f>IFERROR(_xlfn.XLOOKUP($A123,Input_Raw!$A:$A,Input_Raw!$DL:$DL),"")</f>
        <v>0</v>
      </c>
      <c r="AO123" s="142">
        <f>IFERROR((_xlfn.XLOOKUP($A123,'WTG Reactive Power'!$A:$A,'WTG Reactive Power'!$AW:$AW))/X123,"")</f>
        <v>5.4383594616544111E-5</v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32"/>
  <sheetViews>
    <sheetView showGridLines="0" zoomScaleNormal="100" workbookViewId="0">
      <pane xSplit="1" ySplit="4" topLeftCell="B111" activePane="bottomRight" state="frozen"/>
      <selection pane="topRight" activeCell="B1" sqref="B1"/>
      <selection pane="bottomLeft" activeCell="A5" sqref="A5"/>
      <selection pane="bottomRight" activeCell="I131" sqref="I131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089843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26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A120" s="92">
        <f t="shared" si="74"/>
        <v>45860</v>
      </c>
      <c r="B120" s="190">
        <f>YEAR(Input_Raw[[#This Row],[Date]])+IF(MONTH(Input_Raw[[#This Row],[Date]])&gt;=4,1,0)</f>
        <v>2026</v>
      </c>
      <c r="C120" s="190">
        <f>YEAR(Input_Raw[[#This Row],[Date]])</f>
        <v>2025</v>
      </c>
      <c r="D120" s="11">
        <f t="shared" ref="D120" si="169">A120-DAY(A120)+1</f>
        <v>45839</v>
      </c>
      <c r="E120" s="190">
        <f>DAY(EOMONTH(Input_Raw[[#This Row],[Date]],0))</f>
        <v>31</v>
      </c>
      <c r="F120" s="199">
        <v>20328</v>
      </c>
      <c r="G120" s="199">
        <v>15744</v>
      </c>
      <c r="H120" s="199">
        <v>16096</v>
      </c>
      <c r="I120" s="199">
        <v>15756</v>
      </c>
      <c r="J120" s="199">
        <v>20828</v>
      </c>
      <c r="K120" s="199">
        <v>16172</v>
      </c>
      <c r="L120" s="199">
        <v>13832</v>
      </c>
      <c r="M120" s="199">
        <v>11410</v>
      </c>
      <c r="N120" s="199">
        <v>9486</v>
      </c>
      <c r="O120" s="199">
        <v>12556</v>
      </c>
      <c r="P120" s="199">
        <v>15546</v>
      </c>
      <c r="Q120" s="199">
        <v>15804</v>
      </c>
      <c r="R120" s="199">
        <v>13556</v>
      </c>
      <c r="S120" s="199">
        <v>13376</v>
      </c>
      <c r="T120" s="199">
        <v>12120</v>
      </c>
      <c r="U120" s="199">
        <v>13660</v>
      </c>
      <c r="V120" s="199">
        <v>14980</v>
      </c>
      <c r="W120" s="199">
        <v>15372</v>
      </c>
      <c r="X120" s="199">
        <v>12360</v>
      </c>
      <c r="Y120" s="199">
        <v>9779</v>
      </c>
      <c r="Z120" s="199">
        <v>14856</v>
      </c>
      <c r="AA120" s="199">
        <v>14264</v>
      </c>
      <c r="AB120" s="199">
        <v>13700</v>
      </c>
      <c r="AC120" s="199">
        <v>15360</v>
      </c>
      <c r="AD120" s="199">
        <v>16040</v>
      </c>
      <c r="AE120" s="199">
        <v>13048</v>
      </c>
      <c r="AF120" s="199">
        <v>13656</v>
      </c>
      <c r="AG120" s="199">
        <v>11474</v>
      </c>
      <c r="AH120" s="199">
        <v>15472</v>
      </c>
      <c r="AI120" s="199">
        <v>14152</v>
      </c>
      <c r="AJ120" s="199">
        <v>13890</v>
      </c>
      <c r="AK120" s="199">
        <v>10544</v>
      </c>
      <c r="AL120" s="199">
        <v>20308</v>
      </c>
      <c r="AM120" s="199">
        <v>17320</v>
      </c>
      <c r="AN120" s="199">
        <v>10640</v>
      </c>
      <c r="AO120" s="199">
        <v>20764</v>
      </c>
      <c r="AP120" s="199">
        <v>20824</v>
      </c>
      <c r="AQ120" s="199">
        <v>17468</v>
      </c>
      <c r="AR120" s="199">
        <v>19728</v>
      </c>
      <c r="AS120" s="199">
        <v>15490</v>
      </c>
      <c r="AT120" s="199">
        <v>17392</v>
      </c>
      <c r="AU120" s="199">
        <v>16047.999999999998</v>
      </c>
      <c r="AV120" s="199">
        <v>20940</v>
      </c>
      <c r="AW120" s="199">
        <v>17212</v>
      </c>
      <c r="AX120" s="96">
        <v>8.0299999999999994</v>
      </c>
      <c r="AY120" s="96">
        <v>7.27</v>
      </c>
      <c r="AZ120" s="96">
        <v>7.57</v>
      </c>
      <c r="BA120" s="96">
        <v>7.7</v>
      </c>
      <c r="BB120" s="96">
        <v>8.34</v>
      </c>
      <c r="BC120" s="96">
        <v>8.27</v>
      </c>
      <c r="BD120" s="96">
        <v>7.13</v>
      </c>
      <c r="BE120" s="96">
        <v>6.64</v>
      </c>
      <c r="BF120" s="96">
        <v>6.52</v>
      </c>
      <c r="BG120" s="96">
        <v>7.44</v>
      </c>
      <c r="BH120" s="96">
        <v>7.1</v>
      </c>
      <c r="BI120" s="96">
        <v>7.78</v>
      </c>
      <c r="BJ120" s="96">
        <v>7.32</v>
      </c>
      <c r="BK120" s="96">
        <v>7.23</v>
      </c>
      <c r="BL120" s="96">
        <v>7.24</v>
      </c>
      <c r="BM120" s="96">
        <v>7.5</v>
      </c>
      <c r="BN120" s="96">
        <v>7.42</v>
      </c>
      <c r="BO120" s="96">
        <v>7.39</v>
      </c>
      <c r="BP120" s="96">
        <v>6.92</v>
      </c>
      <c r="BQ120" s="96">
        <v>6.23</v>
      </c>
      <c r="BR120" s="96">
        <v>7.4</v>
      </c>
      <c r="BS120" s="96">
        <v>7</v>
      </c>
      <c r="BT120" s="96">
        <v>6.89</v>
      </c>
      <c r="BU120" s="96">
        <v>7.58</v>
      </c>
      <c r="BV120" s="96">
        <v>6.95</v>
      </c>
      <c r="BW120" s="96">
        <v>7.2</v>
      </c>
      <c r="BX120" s="96">
        <v>6.8</v>
      </c>
      <c r="BY120" s="96">
        <v>6.67</v>
      </c>
      <c r="BZ120" s="96">
        <v>7.49</v>
      </c>
      <c r="CA120" s="96">
        <v>7.21</v>
      </c>
      <c r="CB120" s="96">
        <v>7.17</v>
      </c>
      <c r="CC120" s="96">
        <v>6.79</v>
      </c>
      <c r="CD120" s="96">
        <v>9.0299999999999994</v>
      </c>
      <c r="CE120" s="96">
        <v>7.67</v>
      </c>
      <c r="CF120" s="96">
        <v>6.21</v>
      </c>
      <c r="CG120" s="96">
        <v>8.9</v>
      </c>
      <c r="CH120" s="96">
        <v>8.67</v>
      </c>
      <c r="CI120" s="96">
        <v>8</v>
      </c>
      <c r="CJ120" s="96">
        <v>8.42</v>
      </c>
      <c r="CK120" s="96">
        <v>7.52</v>
      </c>
      <c r="CL120" s="96">
        <v>7.97</v>
      </c>
      <c r="CM120" s="96">
        <v>7.54</v>
      </c>
      <c r="CN120" s="96">
        <v>8.82</v>
      </c>
      <c r="CO120" s="96">
        <v>7.81</v>
      </c>
      <c r="CP120" s="345">
        <f>SUM(Input_Raw[[#This Row],[P-01]:[P-56]])/1000</f>
        <v>669.351</v>
      </c>
      <c r="CQ120" s="346">
        <f>IFERROR(AVERAGEIF(Input_Raw[[#This Row],[WS_P-01]:[WS_P-56]],"&lt;&gt;",Input_Raw[[#This Row],[WS_P-01]:[WS_P-56]]),"")</f>
        <v>7.4715909090909092</v>
      </c>
      <c r="CR120" s="347">
        <f>MAX(Input_Raw[[#This Row],[WS_P-01]:[WS_P-56]])</f>
        <v>9.0299999999999994</v>
      </c>
      <c r="CS120" s="347"/>
      <c r="CT120" s="348">
        <f>SUM(Input_Raw[[#This Row],[P-08]:[P-13]],Input_Raw[[#This Row],[P-25]:[P-28]])</f>
        <v>136506</v>
      </c>
      <c r="CU120" s="348"/>
      <c r="CV120" s="348">
        <f>SUM(Input_Raw[[#This Row],[P-04]],Input_Raw[[#This Row],[P-14]:[P-17]],Input_Raw[[#This Row],[P-19]:[P-20]],Input_Raw[[#This Row],[P-22]:[P-23]],Input_Raw[[#This Row],[P-34]],Input_Raw[[#This Row],[P-38]],Input_Raw[[#This Row],[P-43]])</f>
        <v>161153</v>
      </c>
      <c r="CW120" s="348"/>
      <c r="CX120" s="348">
        <f>SUM(Input_Raw[[#This Row],[P-05]:[P-06]],Input_Raw[[#This Row],[P-40]:[P-42]],Input_Raw[[#This Row],[P-45]],Input_Raw[[#This Row],[P-46]],Input_Raw[[#This Row],[P-47]:[P-48]])</f>
        <v>163956</v>
      </c>
      <c r="CY120" s="348"/>
      <c r="CZ120" s="348">
        <f>SUM(Input_Raw[[#This Row],[P-01]:[P-03]],Input_Raw[[#This Row],[P-07]],Input_Raw[[#This Row],[P-18]],Input_Raw[[#This Row],[P-31]:[P-32]],Input_Raw[[#This Row],[P-37]],Input_Raw[[#This Row],[P-50]:[P-56]])</f>
        <v>207736</v>
      </c>
      <c r="DA120" s="349"/>
      <c r="DB120" s="350">
        <f>Input_Raw[[#This Row],[33 kV_Wind_F1_Export reading]]/1000</f>
        <v>136.506</v>
      </c>
      <c r="DC120" s="350"/>
      <c r="DD120" s="350">
        <f>Input_Raw[[#This Row],[33 kV_Wind_F2_Export_reading]]/1000</f>
        <v>161.15299999999999</v>
      </c>
      <c r="DE120" s="350"/>
      <c r="DF120" s="350">
        <f>Input_Raw[[#This Row],[33 kV_Wind_F3_Export_Reading]]/1000</f>
        <v>163.95599999999999</v>
      </c>
      <c r="DG120" s="350"/>
      <c r="DH120" s="350">
        <f>Input_Raw[[#This Row],[33 kV_Wind_F4_Export Reading]]/1000</f>
        <v>207.73599999999999</v>
      </c>
      <c r="DI120" s="350"/>
      <c r="DJ120" s="350">
        <f>Input_Raw[[#This Row],[33 kV_F1_Total_Export (MWh)]]+Input_Raw[[#This Row],[33 kV_F2_Total_Export (MWh)2]]+Input_Raw[[#This Row],[33 kV_Wind_F3_Export (MWh)]]+Input_Raw[[#This Row],[33 kV_Wind_F4_Export (MWh)]]</f>
        <v>669.351</v>
      </c>
      <c r="DK12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0" s="351">
        <f>IFERROR(Input_Raw[[#This Row],[33 kV_Wind_Total_Export (MWh)]]/Input_Raw[[#This Row],[WTG Total Gneration (MWh)]]-1,"")</f>
        <v>0</v>
      </c>
      <c r="DM120" s="352"/>
      <c r="DN120" s="186">
        <v>92</v>
      </c>
      <c r="DO120" s="186">
        <v>18316</v>
      </c>
      <c r="DP120" s="102">
        <v>626.04</v>
      </c>
      <c r="DQ120" s="352"/>
      <c r="DR120" s="181">
        <v>70.400000000000006</v>
      </c>
    </row>
    <row r="121" spans="1:122">
      <c r="A121" s="92">
        <f t="shared" si="74"/>
        <v>45861</v>
      </c>
      <c r="B121" s="190">
        <f>YEAR(Input_Raw[[#This Row],[Date]])+IF(MONTH(Input_Raw[[#This Row],[Date]])&gt;=4,1,0)</f>
        <v>2026</v>
      </c>
      <c r="C121" s="190">
        <f>YEAR(Input_Raw[[#This Row],[Date]])</f>
        <v>2025</v>
      </c>
      <c r="D121" s="11">
        <f t="shared" ref="D121" si="170">A121-DAY(A121)+1</f>
        <v>45839</v>
      </c>
      <c r="E121" s="190">
        <f>DAY(EOMONTH(Input_Raw[[#This Row],[Date]],0))</f>
        <v>31</v>
      </c>
      <c r="F121" s="199">
        <v>28464</v>
      </c>
      <c r="G121" s="199">
        <v>23664</v>
      </c>
      <c r="H121" s="199">
        <v>24504</v>
      </c>
      <c r="I121" s="199">
        <v>23944</v>
      </c>
      <c r="J121" s="199">
        <v>29596</v>
      </c>
      <c r="K121" s="199">
        <v>25504</v>
      </c>
      <c r="L121" s="199">
        <v>23520</v>
      </c>
      <c r="M121" s="199">
        <v>20224</v>
      </c>
      <c r="N121" s="199">
        <v>16484</v>
      </c>
      <c r="O121" s="199">
        <v>21194</v>
      </c>
      <c r="P121" s="199">
        <v>25294</v>
      </c>
      <c r="Q121" s="199">
        <v>26152</v>
      </c>
      <c r="R121" s="199">
        <v>24264</v>
      </c>
      <c r="S121" s="199">
        <v>22028</v>
      </c>
      <c r="T121" s="199">
        <v>20570</v>
      </c>
      <c r="U121" s="199">
        <v>22048</v>
      </c>
      <c r="V121" s="199">
        <v>23250</v>
      </c>
      <c r="W121" s="199">
        <v>23844</v>
      </c>
      <c r="X121" s="199">
        <v>19888</v>
      </c>
      <c r="Y121" s="199">
        <v>16479</v>
      </c>
      <c r="Z121" s="199">
        <v>23440</v>
      </c>
      <c r="AA121" s="199">
        <v>21812</v>
      </c>
      <c r="AB121" s="199">
        <v>21904</v>
      </c>
      <c r="AC121" s="199">
        <v>23656</v>
      </c>
      <c r="AD121" s="199">
        <v>25176</v>
      </c>
      <c r="AE121" s="199">
        <v>22508</v>
      </c>
      <c r="AF121" s="199">
        <v>22496</v>
      </c>
      <c r="AG121" s="199">
        <v>18562</v>
      </c>
      <c r="AH121" s="199">
        <v>23176</v>
      </c>
      <c r="AI121" s="199">
        <v>22078</v>
      </c>
      <c r="AJ121" s="199">
        <v>22842</v>
      </c>
      <c r="AK121" s="199">
        <v>17984</v>
      </c>
      <c r="AL121" s="199">
        <v>28736</v>
      </c>
      <c r="AM121" s="199">
        <v>26888</v>
      </c>
      <c r="AN121" s="199">
        <v>17988</v>
      </c>
      <c r="AO121" s="199">
        <v>29380</v>
      </c>
      <c r="AP121" s="199">
        <v>29608</v>
      </c>
      <c r="AQ121" s="199">
        <v>27404</v>
      </c>
      <c r="AR121" s="199">
        <v>28684</v>
      </c>
      <c r="AS121" s="199">
        <v>24386</v>
      </c>
      <c r="AT121" s="199">
        <v>26260</v>
      </c>
      <c r="AU121" s="199">
        <v>25128</v>
      </c>
      <c r="AV121" s="199">
        <v>29320</v>
      </c>
      <c r="AW121" s="199">
        <v>26688</v>
      </c>
      <c r="AX121" s="96">
        <v>9.5299999999999994</v>
      </c>
      <c r="AY121" s="96">
        <v>8.7200000000000006</v>
      </c>
      <c r="AZ121" s="96">
        <v>9.1300000000000008</v>
      </c>
      <c r="BA121" s="96">
        <v>9.14</v>
      </c>
      <c r="BB121" s="96">
        <v>9.6300000000000008</v>
      </c>
      <c r="BC121" s="96">
        <v>9.9499999999999993</v>
      </c>
      <c r="BD121" s="96">
        <v>8.84</v>
      </c>
      <c r="BE121" s="96">
        <v>8.14</v>
      </c>
      <c r="BF121" s="96">
        <v>7.83</v>
      </c>
      <c r="BG121" s="96">
        <v>8.93</v>
      </c>
      <c r="BH121" s="96">
        <v>8.83</v>
      </c>
      <c r="BI121" s="96">
        <v>9.68</v>
      </c>
      <c r="BJ121" s="96">
        <v>9.2899999999999991</v>
      </c>
      <c r="BK121" s="96">
        <v>8.65</v>
      </c>
      <c r="BL121" s="96">
        <v>8.85</v>
      </c>
      <c r="BM121" s="96">
        <v>8.86</v>
      </c>
      <c r="BN121" s="96">
        <v>8.9600000000000009</v>
      </c>
      <c r="BO121" s="96">
        <v>8.82</v>
      </c>
      <c r="BP121" s="96">
        <v>8.1999999999999993</v>
      </c>
      <c r="BQ121" s="96">
        <v>7.36</v>
      </c>
      <c r="BR121" s="96">
        <v>8.84</v>
      </c>
      <c r="BS121" s="96">
        <v>8.32</v>
      </c>
      <c r="BT121" s="96">
        <v>8.1999999999999993</v>
      </c>
      <c r="BU121" s="96">
        <v>8.9600000000000009</v>
      </c>
      <c r="BV121" s="96">
        <v>8.35</v>
      </c>
      <c r="BW121" s="96">
        <v>8.81</v>
      </c>
      <c r="BX121" s="96">
        <v>8.5</v>
      </c>
      <c r="BY121" s="96">
        <v>7.85</v>
      </c>
      <c r="BZ121" s="96">
        <v>8.81</v>
      </c>
      <c r="CA121" s="96">
        <v>8.4600000000000009</v>
      </c>
      <c r="CB121" s="96">
        <v>8.82</v>
      </c>
      <c r="CC121" s="96">
        <v>8.1300000000000008</v>
      </c>
      <c r="CD121" s="96">
        <v>10.43</v>
      </c>
      <c r="CE121" s="96">
        <v>9.5299999999999994</v>
      </c>
      <c r="CF121" s="96">
        <v>7.55</v>
      </c>
      <c r="CG121" s="96">
        <v>10.4</v>
      </c>
      <c r="CH121" s="96">
        <v>10.16</v>
      </c>
      <c r="CI121" s="96">
        <v>9.61</v>
      </c>
      <c r="CJ121" s="96">
        <v>9.98</v>
      </c>
      <c r="CK121" s="96">
        <v>9.0399999999999991</v>
      </c>
      <c r="CL121" s="96">
        <v>9.52</v>
      </c>
      <c r="CM121" s="96">
        <v>9.0500000000000007</v>
      </c>
      <c r="CN121" s="96">
        <v>10.45</v>
      </c>
      <c r="CO121" s="96">
        <v>9.44</v>
      </c>
      <c r="CP121" s="345">
        <f>SUM(Input_Raw[[#This Row],[P-01]:[P-56]])/1000</f>
        <v>1047.019</v>
      </c>
      <c r="CQ121" s="346">
        <f>IFERROR(AVERAGEIF(Input_Raw[[#This Row],[WS_P-01]:[WS_P-56]],"&lt;&gt;",Input_Raw[[#This Row],[WS_P-01]:[WS_P-56]]),"")</f>
        <v>8.9670454545454543</v>
      </c>
      <c r="CR121" s="347">
        <f>MAX(Input_Raw[[#This Row],[WS_P-01]:[WS_P-56]])</f>
        <v>10.45</v>
      </c>
      <c r="CS121" s="347"/>
      <c r="CT121" s="348">
        <f>SUM(Input_Raw[[#This Row],[P-08]:[P-13]],Input_Raw[[#This Row],[P-25]:[P-28]])</f>
        <v>226856</v>
      </c>
      <c r="CU121" s="348"/>
      <c r="CV121" s="348">
        <f>SUM(Input_Raw[[#This Row],[P-04]],Input_Raw[[#This Row],[P-14]:[P-17]],Input_Raw[[#This Row],[P-19]:[P-20]],Input_Raw[[#This Row],[P-22]:[P-23]],Input_Raw[[#This Row],[P-34]],Input_Raw[[#This Row],[P-38]],Input_Raw[[#This Row],[P-43]])</f>
        <v>257465</v>
      </c>
      <c r="CW121" s="348"/>
      <c r="CX121" s="348">
        <f>SUM(Input_Raw[[#This Row],[P-05]:[P-06]],Input_Raw[[#This Row],[P-40]:[P-42]],Input_Raw[[#This Row],[P-45]],Input_Raw[[#This Row],[P-46]],Input_Raw[[#This Row],[P-47]:[P-48]])</f>
        <v>243784</v>
      </c>
      <c r="CY121" s="348"/>
      <c r="CZ121" s="348">
        <f>SUM(Input_Raw[[#This Row],[P-01]:[P-03]],Input_Raw[[#This Row],[P-07]],Input_Raw[[#This Row],[P-18]],Input_Raw[[#This Row],[P-31]:[P-32]],Input_Raw[[#This Row],[P-37]],Input_Raw[[#This Row],[P-50]:[P-56]])</f>
        <v>318914</v>
      </c>
      <c r="DA121" s="349"/>
      <c r="DB121" s="350">
        <f>Input_Raw[[#This Row],[33 kV_Wind_F1_Export reading]]/1000</f>
        <v>226.85599999999999</v>
      </c>
      <c r="DC121" s="350"/>
      <c r="DD121" s="350">
        <f>Input_Raw[[#This Row],[33 kV_Wind_F2_Export_reading]]/1000</f>
        <v>257.46499999999997</v>
      </c>
      <c r="DE121" s="350"/>
      <c r="DF121" s="350">
        <f>Input_Raw[[#This Row],[33 kV_Wind_F3_Export_Reading]]/1000</f>
        <v>243.78399999999999</v>
      </c>
      <c r="DG121" s="350"/>
      <c r="DH121" s="350">
        <f>Input_Raw[[#This Row],[33 kV_Wind_F4_Export Reading]]/1000</f>
        <v>318.91399999999999</v>
      </c>
      <c r="DI121" s="350"/>
      <c r="DJ121" s="350">
        <f>Input_Raw[[#This Row],[33 kV_F1_Total_Export (MWh)]]+Input_Raw[[#This Row],[33 kV_F2_Total_Export (MWh)2]]+Input_Raw[[#This Row],[33 kV_Wind_F3_Export (MWh)]]+Input_Raw[[#This Row],[33 kV_Wind_F4_Export (MWh)]]</f>
        <v>1047.019</v>
      </c>
      <c r="DK12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1" s="351">
        <f>IFERROR(Input_Raw[[#This Row],[33 kV_Wind_Total_Export (MWh)]]/Input_Raw[[#This Row],[WTG Total Gneration (MWh)]]-1,"")</f>
        <v>0</v>
      </c>
      <c r="DM121" s="352"/>
      <c r="DN121" s="186">
        <v>92</v>
      </c>
      <c r="DO121" s="186">
        <v>24889.63</v>
      </c>
      <c r="DP121" s="102">
        <v>1010.49</v>
      </c>
      <c r="DQ121" s="352"/>
      <c r="DR121" s="181">
        <v>70.400000000000006</v>
      </c>
    </row>
    <row r="122" spans="1:122">
      <c r="A122" s="92">
        <f t="shared" si="74"/>
        <v>45862</v>
      </c>
      <c r="B122" s="190">
        <f>YEAR(Input_Raw[[#This Row],[Date]])+IF(MONTH(Input_Raw[[#This Row],[Date]])&gt;=4,1,0)</f>
        <v>2026</v>
      </c>
      <c r="C122" s="190">
        <f>YEAR(Input_Raw[[#This Row],[Date]])</f>
        <v>2025</v>
      </c>
      <c r="D122" s="11">
        <f t="shared" ref="D122" si="171">A122-DAY(A122)+1</f>
        <v>45839</v>
      </c>
      <c r="E122" s="190">
        <f>DAY(EOMONTH(Input_Raw[[#This Row],[Date]],0))</f>
        <v>31</v>
      </c>
      <c r="F122" s="199">
        <v>31028</v>
      </c>
      <c r="G122" s="199">
        <v>26080</v>
      </c>
      <c r="H122" s="199">
        <v>23096</v>
      </c>
      <c r="I122" s="199">
        <v>28608</v>
      </c>
      <c r="J122" s="199">
        <v>30452</v>
      </c>
      <c r="K122" s="199">
        <v>28956</v>
      </c>
      <c r="L122" s="199">
        <v>29002</v>
      </c>
      <c r="M122" s="199">
        <v>24456</v>
      </c>
      <c r="N122" s="199">
        <v>18340</v>
      </c>
      <c r="O122" s="199">
        <v>21662</v>
      </c>
      <c r="P122" s="199">
        <v>28616</v>
      </c>
      <c r="Q122" s="199">
        <v>28172</v>
      </c>
      <c r="R122" s="199">
        <v>31804</v>
      </c>
      <c r="S122" s="199">
        <v>26912</v>
      </c>
      <c r="T122" s="199">
        <v>24482</v>
      </c>
      <c r="U122" s="199">
        <v>25784</v>
      </c>
      <c r="V122" s="199">
        <v>28782</v>
      </c>
      <c r="W122" s="199">
        <v>24796</v>
      </c>
      <c r="X122" s="199">
        <v>24280</v>
      </c>
      <c r="Y122" s="199">
        <v>20935</v>
      </c>
      <c r="Z122" s="199">
        <v>28172</v>
      </c>
      <c r="AA122" s="199">
        <v>22732</v>
      </c>
      <c r="AB122" s="199">
        <v>22024</v>
      </c>
      <c r="AC122" s="199">
        <v>26724</v>
      </c>
      <c r="AD122" s="199">
        <v>28768</v>
      </c>
      <c r="AE122" s="199">
        <v>27616</v>
      </c>
      <c r="AF122" s="199">
        <v>19280</v>
      </c>
      <c r="AG122" s="199">
        <v>22588</v>
      </c>
      <c r="AH122" s="199">
        <v>29884</v>
      </c>
      <c r="AI122" s="199">
        <v>26746</v>
      </c>
      <c r="AJ122" s="199">
        <v>27152</v>
      </c>
      <c r="AK122" s="199">
        <v>21756</v>
      </c>
      <c r="AL122" s="199">
        <v>28964</v>
      </c>
      <c r="AM122" s="199">
        <v>29792</v>
      </c>
      <c r="AN122" s="199">
        <v>21408</v>
      </c>
      <c r="AO122" s="199">
        <v>33148</v>
      </c>
      <c r="AP122" s="199">
        <v>32616</v>
      </c>
      <c r="AQ122" s="199">
        <v>29052</v>
      </c>
      <c r="AR122" s="199">
        <v>31824</v>
      </c>
      <c r="AS122" s="199">
        <v>26300</v>
      </c>
      <c r="AT122" s="199">
        <v>29256</v>
      </c>
      <c r="AU122" s="199">
        <v>29568</v>
      </c>
      <c r="AV122" s="199">
        <v>33964</v>
      </c>
      <c r="AW122" s="199">
        <v>32072.000000000004</v>
      </c>
      <c r="AX122" s="96">
        <v>9.91</v>
      </c>
      <c r="AY122" s="96">
        <v>9.24</v>
      </c>
      <c r="AZ122" s="96">
        <v>8.6999999999999993</v>
      </c>
      <c r="BA122" s="96">
        <v>10.1</v>
      </c>
      <c r="BB122" s="96">
        <v>9.7799999999999994</v>
      </c>
      <c r="BC122" s="96">
        <v>10.78</v>
      </c>
      <c r="BD122" s="96">
        <v>9.9700000000000006</v>
      </c>
      <c r="BE122" s="96">
        <v>8.83</v>
      </c>
      <c r="BF122" s="96">
        <v>8.17</v>
      </c>
      <c r="BG122" s="96">
        <v>9.01</v>
      </c>
      <c r="BH122" s="96">
        <v>9.2200000000000006</v>
      </c>
      <c r="BI122" s="96">
        <v>10.68</v>
      </c>
      <c r="BJ122" s="96">
        <v>10.62</v>
      </c>
      <c r="BK122" s="96">
        <v>9.4499999999999993</v>
      </c>
      <c r="BL122" s="96">
        <v>9.6199999999999992</v>
      </c>
      <c r="BM122" s="96">
        <v>9.42</v>
      </c>
      <c r="BN122" s="96">
        <v>9.93</v>
      </c>
      <c r="BO122" s="96">
        <v>8.9</v>
      </c>
      <c r="BP122" s="96">
        <v>8.98</v>
      </c>
      <c r="BQ122" s="96">
        <v>8.11</v>
      </c>
      <c r="BR122" s="96">
        <v>9.75</v>
      </c>
      <c r="BS122" s="96">
        <v>8.43</v>
      </c>
      <c r="BT122" s="96">
        <v>8.3800000000000008</v>
      </c>
      <c r="BU122" s="96">
        <v>9.4499999999999993</v>
      </c>
      <c r="BV122" s="96">
        <v>8.82</v>
      </c>
      <c r="BW122" s="96">
        <v>9.64</v>
      </c>
      <c r="BX122" s="96">
        <v>7.76</v>
      </c>
      <c r="BY122" s="96">
        <v>8.6199999999999992</v>
      </c>
      <c r="BZ122" s="96">
        <v>10.09</v>
      </c>
      <c r="CA122" s="96">
        <v>9.26</v>
      </c>
      <c r="CB122" s="96">
        <v>9.58</v>
      </c>
      <c r="CC122" s="96">
        <v>8.76</v>
      </c>
      <c r="CD122" s="96">
        <v>10.38</v>
      </c>
      <c r="CE122" s="96">
        <v>10.19</v>
      </c>
      <c r="CF122" s="96">
        <v>8.2799999999999994</v>
      </c>
      <c r="CG122" s="96">
        <v>11.25</v>
      </c>
      <c r="CH122" s="96">
        <v>10.83</v>
      </c>
      <c r="CI122" s="96">
        <v>9.91</v>
      </c>
      <c r="CJ122" s="96">
        <v>10.61</v>
      </c>
      <c r="CK122" s="96">
        <v>9.34</v>
      </c>
      <c r="CL122" s="96">
        <v>10.11</v>
      </c>
      <c r="CM122" s="96">
        <v>9.92</v>
      </c>
      <c r="CN122" s="96">
        <v>11.49</v>
      </c>
      <c r="CO122" s="96">
        <v>10.53</v>
      </c>
      <c r="CP122" s="345">
        <f>SUM(Input_Raw[[#This Row],[P-01]:[P-56]])/1000</f>
        <v>1187.6489999999999</v>
      </c>
      <c r="CQ122" s="346">
        <f>IFERROR(AVERAGEIF(Input_Raw[[#This Row],[WS_P-01]:[WS_P-56]],"&lt;&gt;",Input_Raw[[#This Row],[WS_P-01]:[WS_P-56]]),"")</f>
        <v>9.5636363636363608</v>
      </c>
      <c r="CR122" s="347">
        <f>MAX(Input_Raw[[#This Row],[WS_P-01]:[WS_P-56]])</f>
        <v>11.49</v>
      </c>
      <c r="CS122" s="347"/>
      <c r="CT122" s="348">
        <f>SUM(Input_Raw[[#This Row],[P-08]:[P-13]],Input_Raw[[#This Row],[P-25]:[P-28]])</f>
        <v>258182</v>
      </c>
      <c r="CU122" s="348"/>
      <c r="CV122" s="348">
        <f>SUM(Input_Raw[[#This Row],[P-04]],Input_Raw[[#This Row],[P-14]:[P-17]],Input_Raw[[#This Row],[P-19]:[P-20]],Input_Raw[[#This Row],[P-22]:[P-23]],Input_Raw[[#This Row],[P-34]],Input_Raw[[#This Row],[P-38]],Input_Raw[[#This Row],[P-43]])</f>
        <v>309131</v>
      </c>
      <c r="CW122" s="348"/>
      <c r="CX122" s="348">
        <f>SUM(Input_Raw[[#This Row],[P-05]:[P-06]],Input_Raw[[#This Row],[P-40]:[P-42]],Input_Raw[[#This Row],[P-45]],Input_Raw[[#This Row],[P-46]],Input_Raw[[#This Row],[P-47]:[P-48]])</f>
        <v>266560</v>
      </c>
      <c r="CY122" s="348"/>
      <c r="CZ122" s="348">
        <f>SUM(Input_Raw[[#This Row],[P-01]:[P-03]],Input_Raw[[#This Row],[P-07]],Input_Raw[[#This Row],[P-18]],Input_Raw[[#This Row],[P-31]:[P-32]],Input_Raw[[#This Row],[P-37]],Input_Raw[[#This Row],[P-50]:[P-56]])</f>
        <v>353776</v>
      </c>
      <c r="DA122" s="349"/>
      <c r="DB122" s="350">
        <f>Input_Raw[[#This Row],[33 kV_Wind_F1_Export reading]]/1000</f>
        <v>258.18200000000002</v>
      </c>
      <c r="DC122" s="350"/>
      <c r="DD122" s="350">
        <f>Input_Raw[[#This Row],[33 kV_Wind_F2_Export_reading]]/1000</f>
        <v>309.13099999999997</v>
      </c>
      <c r="DE122" s="350"/>
      <c r="DF122" s="350">
        <f>Input_Raw[[#This Row],[33 kV_Wind_F3_Export_Reading]]/1000</f>
        <v>266.56</v>
      </c>
      <c r="DG122" s="350"/>
      <c r="DH122" s="350">
        <f>Input_Raw[[#This Row],[33 kV_Wind_F4_Export Reading]]/1000</f>
        <v>353.77600000000001</v>
      </c>
      <c r="DI122" s="350"/>
      <c r="DJ122" s="350">
        <f>Input_Raw[[#This Row],[33 kV_F1_Total_Export (MWh)]]+Input_Raw[[#This Row],[33 kV_F2_Total_Export (MWh)2]]+Input_Raw[[#This Row],[33 kV_Wind_F3_Export (MWh)]]+Input_Raw[[#This Row],[33 kV_Wind_F4_Export (MWh)]]</f>
        <v>1187.6490000000001</v>
      </c>
      <c r="DK12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2" s="351">
        <f>IFERROR(Input_Raw[[#This Row],[33 kV_Wind_Total_Export (MWh)]]/Input_Raw[[#This Row],[WTG Total Gneration (MWh)]]-1,"")</f>
        <v>2.2204460492503131E-16</v>
      </c>
      <c r="DM122" s="352"/>
      <c r="DN122" s="186">
        <v>91</v>
      </c>
      <c r="DO122" s="186">
        <v>40851.379999999997</v>
      </c>
      <c r="DP122" s="102">
        <v>1150.5899999999999</v>
      </c>
      <c r="DQ122" s="352"/>
      <c r="DR122" s="181">
        <v>70.400000000000006</v>
      </c>
    </row>
    <row r="123" spans="1:122">
      <c r="A123" s="92">
        <f t="shared" si="74"/>
        <v>45863</v>
      </c>
      <c r="B123" s="190">
        <f>YEAR(Input_Raw[[#This Row],[Date]])+IF(MONTH(Input_Raw[[#This Row],[Date]])&gt;=4,1,0)</f>
        <v>2026</v>
      </c>
      <c r="C123" s="190">
        <f>YEAR(Input_Raw[[#This Row],[Date]])</f>
        <v>2025</v>
      </c>
      <c r="D123" s="11">
        <f t="shared" ref="D123" si="172">A123-DAY(A123)+1</f>
        <v>45839</v>
      </c>
      <c r="E123" s="190">
        <f>DAY(EOMONTH(Input_Raw[[#This Row],[Date]],0))</f>
        <v>31</v>
      </c>
      <c r="F123" s="199">
        <v>36752</v>
      </c>
      <c r="G123" s="199">
        <v>34308</v>
      </c>
      <c r="H123" s="199">
        <v>33260</v>
      </c>
      <c r="I123" s="199">
        <v>29186</v>
      </c>
      <c r="J123" s="199">
        <v>31756</v>
      </c>
      <c r="K123" s="199">
        <v>29388</v>
      </c>
      <c r="L123" s="199">
        <v>35126</v>
      </c>
      <c r="M123" s="199">
        <v>31842</v>
      </c>
      <c r="N123" s="199">
        <v>26562</v>
      </c>
      <c r="O123" s="199">
        <v>29480</v>
      </c>
      <c r="P123" s="199">
        <v>34182</v>
      </c>
      <c r="Q123" s="199">
        <v>36376</v>
      </c>
      <c r="R123" s="199">
        <v>35900</v>
      </c>
      <c r="S123" s="199">
        <v>29688</v>
      </c>
      <c r="T123" s="199">
        <v>29020</v>
      </c>
      <c r="U123" s="199">
        <v>30872</v>
      </c>
      <c r="V123" s="199">
        <v>31480</v>
      </c>
      <c r="W123" s="199">
        <v>34020</v>
      </c>
      <c r="X123" s="199">
        <v>29272</v>
      </c>
      <c r="Y123" s="199">
        <v>26940</v>
      </c>
      <c r="Z123" s="199">
        <v>29280</v>
      </c>
      <c r="AA123" s="199">
        <v>26864</v>
      </c>
      <c r="AB123" s="199">
        <v>31944</v>
      </c>
      <c r="AC123" s="199">
        <v>34116</v>
      </c>
      <c r="AD123" s="199">
        <v>33148</v>
      </c>
      <c r="AE123" s="199">
        <v>31616</v>
      </c>
      <c r="AF123" s="199">
        <v>30156</v>
      </c>
      <c r="AG123" s="199">
        <v>31184</v>
      </c>
      <c r="AH123" s="199">
        <v>29604</v>
      </c>
      <c r="AI123" s="199">
        <v>28210</v>
      </c>
      <c r="AJ123" s="199">
        <v>30590</v>
      </c>
      <c r="AK123" s="199">
        <v>23748</v>
      </c>
      <c r="AL123" s="199">
        <v>30788</v>
      </c>
      <c r="AM123" s="199">
        <v>30948</v>
      </c>
      <c r="AN123" s="199">
        <v>25630</v>
      </c>
      <c r="AO123" s="199">
        <v>28208</v>
      </c>
      <c r="AP123" s="199">
        <v>27788</v>
      </c>
      <c r="AQ123" s="199">
        <v>31164</v>
      </c>
      <c r="AR123" s="199">
        <v>32031.999999999996</v>
      </c>
      <c r="AS123" s="199">
        <v>34174</v>
      </c>
      <c r="AT123" s="199">
        <v>36320</v>
      </c>
      <c r="AU123" s="199">
        <v>28344</v>
      </c>
      <c r="AV123" s="199">
        <v>37740</v>
      </c>
      <c r="AW123" s="199">
        <v>36784</v>
      </c>
      <c r="AX123" s="96">
        <v>11.83</v>
      </c>
      <c r="AY123" s="96">
        <v>11.41</v>
      </c>
      <c r="AZ123" s="96">
        <v>11.15</v>
      </c>
      <c r="BA123" s="96">
        <v>11.74</v>
      </c>
      <c r="BB123" s="96">
        <v>11.21</v>
      </c>
      <c r="BC123" s="96">
        <v>12.02</v>
      </c>
      <c r="BD123" s="96">
        <v>11.55</v>
      </c>
      <c r="BE123" s="96">
        <v>10.27</v>
      </c>
      <c r="BF123" s="96">
        <v>9.75</v>
      </c>
      <c r="BG123" s="96">
        <v>10.61</v>
      </c>
      <c r="BH123" s="96">
        <v>10.97</v>
      </c>
      <c r="BI123" s="96">
        <v>12.18</v>
      </c>
      <c r="BJ123" s="96">
        <v>11.79</v>
      </c>
      <c r="BK123" s="96">
        <v>10.68</v>
      </c>
      <c r="BL123" s="96">
        <v>11.12</v>
      </c>
      <c r="BM123" s="96">
        <v>10.82</v>
      </c>
      <c r="BN123" s="96">
        <v>11.53</v>
      </c>
      <c r="BO123" s="96">
        <v>11.09</v>
      </c>
      <c r="BP123" s="96">
        <v>10.4</v>
      </c>
      <c r="BQ123" s="96">
        <v>9.41</v>
      </c>
      <c r="BR123" s="96">
        <v>11.13</v>
      </c>
      <c r="BS123" s="96">
        <v>10.48</v>
      </c>
      <c r="BT123" s="96">
        <v>10.19</v>
      </c>
      <c r="BU123" s="96">
        <v>11.1</v>
      </c>
      <c r="BV123" s="96">
        <v>10.36</v>
      </c>
      <c r="BW123" s="96">
        <v>11.13</v>
      </c>
      <c r="BX123" s="96">
        <v>10.27</v>
      </c>
      <c r="BY123" s="96">
        <v>10.19</v>
      </c>
      <c r="BZ123" s="96">
        <v>11.35</v>
      </c>
      <c r="CA123" s="96">
        <v>10.55</v>
      </c>
      <c r="CB123" s="96">
        <v>11.11</v>
      </c>
      <c r="CC123" s="96">
        <v>9.65</v>
      </c>
      <c r="CD123" s="96">
        <v>11.93</v>
      </c>
      <c r="CE123" s="96">
        <v>11.73</v>
      </c>
      <c r="CF123" s="96">
        <v>10.3</v>
      </c>
      <c r="CG123" s="96">
        <v>12.74</v>
      </c>
      <c r="CH123" s="96">
        <v>12.36</v>
      </c>
      <c r="CI123" s="96">
        <v>12.03</v>
      </c>
      <c r="CJ123" s="96">
        <v>11.95</v>
      </c>
      <c r="CK123" s="96">
        <v>11.37</v>
      </c>
      <c r="CL123" s="96">
        <v>12.14</v>
      </c>
      <c r="CM123" s="96">
        <v>11.43</v>
      </c>
      <c r="CN123" s="96">
        <v>13.38</v>
      </c>
      <c r="CO123" s="96">
        <v>11.96</v>
      </c>
      <c r="CP123" s="345">
        <f>SUM(Input_Raw[[#This Row],[P-01]:[P-56]])/1000</f>
        <v>1375.79</v>
      </c>
      <c r="CQ123" s="346">
        <f>IFERROR(AVERAGEIF(Input_Raw[[#This Row],[WS_P-01]:[WS_P-56]],"&lt;&gt;",Input_Raw[[#This Row],[WS_P-01]:[WS_P-56]]),"")</f>
        <v>11.19</v>
      </c>
      <c r="CR123" s="347">
        <f>MAX(Input_Raw[[#This Row],[WS_P-01]:[WS_P-56]])</f>
        <v>13.38</v>
      </c>
      <c r="CS123" s="347"/>
      <c r="CT123" s="348">
        <f>SUM(Input_Raw[[#This Row],[P-08]:[P-13]],Input_Raw[[#This Row],[P-25]:[P-28]])</f>
        <v>325166</v>
      </c>
      <c r="CU123" s="348"/>
      <c r="CV123" s="348">
        <f>SUM(Input_Raw[[#This Row],[P-04]],Input_Raw[[#This Row],[P-14]:[P-17]],Input_Raw[[#This Row],[P-19]:[P-20]],Input_Raw[[#This Row],[P-22]:[P-23]],Input_Raw[[#This Row],[P-34]],Input_Raw[[#This Row],[P-38]],Input_Raw[[#This Row],[P-43]])</f>
        <v>348426</v>
      </c>
      <c r="CW123" s="348"/>
      <c r="CX123" s="348">
        <f>SUM(Input_Raw[[#This Row],[P-05]:[P-06]],Input_Raw[[#This Row],[P-40]:[P-42]],Input_Raw[[#This Row],[P-45]],Input_Raw[[#This Row],[P-46]],Input_Raw[[#This Row],[P-47]:[P-48]])</f>
        <v>265820</v>
      </c>
      <c r="CY123" s="348"/>
      <c r="CZ123" s="348">
        <f>SUM(Input_Raw[[#This Row],[P-01]:[P-03]],Input_Raw[[#This Row],[P-07]],Input_Raw[[#This Row],[P-18]],Input_Raw[[#This Row],[P-31]:[P-32]],Input_Raw[[#This Row],[P-37]],Input_Raw[[#This Row],[P-50]:[P-56]])</f>
        <v>436378</v>
      </c>
      <c r="DA123" s="349"/>
      <c r="DB123" s="350">
        <f>Input_Raw[[#This Row],[33 kV_Wind_F1_Export reading]]/1000</f>
        <v>325.166</v>
      </c>
      <c r="DC123" s="350"/>
      <c r="DD123" s="350">
        <f>Input_Raw[[#This Row],[33 kV_Wind_F2_Export_reading]]/1000</f>
        <v>348.42599999999999</v>
      </c>
      <c r="DE123" s="350"/>
      <c r="DF123" s="350">
        <f>Input_Raw[[#This Row],[33 kV_Wind_F3_Export_Reading]]/1000</f>
        <v>265.82</v>
      </c>
      <c r="DG123" s="350"/>
      <c r="DH123" s="350">
        <f>Input_Raw[[#This Row],[33 kV_Wind_F4_Export Reading]]/1000</f>
        <v>436.37799999999999</v>
      </c>
      <c r="DI123" s="350"/>
      <c r="DJ123" s="350">
        <f>Input_Raw[[#This Row],[33 kV_F1_Total_Export (MWh)]]+Input_Raw[[#This Row],[33 kV_F2_Total_Export (MWh)2]]+Input_Raw[[#This Row],[33 kV_Wind_F3_Export (MWh)]]+Input_Raw[[#This Row],[33 kV_Wind_F4_Export (MWh)]]</f>
        <v>1375.79</v>
      </c>
      <c r="DK12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3" s="351">
        <f>IFERROR(Input_Raw[[#This Row],[33 kV_Wind_Total_Export (MWh)]]/Input_Raw[[#This Row],[WTG Total Gneration (MWh)]]-1,"")</f>
        <v>0</v>
      </c>
      <c r="DM123" s="352"/>
      <c r="DN123" s="186">
        <v>90</v>
      </c>
      <c r="DO123" s="186">
        <v>52342.13</v>
      </c>
      <c r="DP123" s="102">
        <v>1434.22</v>
      </c>
      <c r="DQ123" s="352"/>
      <c r="DR123" s="181">
        <v>70.400000000000006</v>
      </c>
    </row>
    <row r="124" spans="1:122">
      <c r="A124" s="92">
        <f t="shared" si="74"/>
        <v>45864</v>
      </c>
      <c r="B124" s="190">
        <f>YEAR(Input_Raw[[#This Row],[Date]])+IF(MONTH(Input_Raw[[#This Row],[Date]])&gt;=4,1,0)</f>
        <v>2026</v>
      </c>
      <c r="C124" s="190">
        <f>YEAR(Input_Raw[[#This Row],[Date]])</f>
        <v>2025</v>
      </c>
      <c r="D124" s="11">
        <f t="shared" ref="D124" si="173">A124-DAY(A124)+1</f>
        <v>45839</v>
      </c>
      <c r="E124" s="190">
        <f>DAY(EOMONTH(Input_Raw[[#This Row],[Date]],0))</f>
        <v>31</v>
      </c>
      <c r="F124" s="199">
        <v>18708</v>
      </c>
      <c r="G124" s="199">
        <v>18544</v>
      </c>
      <c r="H124" s="199">
        <v>13444</v>
      </c>
      <c r="I124" s="199">
        <v>18250</v>
      </c>
      <c r="J124" s="199">
        <v>34580</v>
      </c>
      <c r="K124" s="199">
        <v>21224</v>
      </c>
      <c r="L124" s="199">
        <v>8480</v>
      </c>
      <c r="M124" s="199">
        <v>36650</v>
      </c>
      <c r="N124" s="199">
        <v>35014</v>
      </c>
      <c r="O124" s="199">
        <v>35166</v>
      </c>
      <c r="P124" s="199">
        <v>37948</v>
      </c>
      <c r="Q124" s="199">
        <v>38496</v>
      </c>
      <c r="R124" s="199">
        <v>32439.999999999996</v>
      </c>
      <c r="S124" s="199">
        <v>30188</v>
      </c>
      <c r="T124" s="199">
        <v>26740</v>
      </c>
      <c r="U124" s="199">
        <v>38194</v>
      </c>
      <c r="V124" s="199">
        <v>34078</v>
      </c>
      <c r="W124" s="199">
        <v>18576</v>
      </c>
      <c r="X124" s="199">
        <v>24992</v>
      </c>
      <c r="Y124" s="199">
        <v>36920</v>
      </c>
      <c r="Z124" s="199">
        <v>38220</v>
      </c>
      <c r="AA124" s="199">
        <v>36604</v>
      </c>
      <c r="AB124" s="199">
        <v>38160</v>
      </c>
      <c r="AC124" s="199">
        <v>38272</v>
      </c>
      <c r="AD124" s="199">
        <v>30796</v>
      </c>
      <c r="AE124" s="199">
        <v>25624</v>
      </c>
      <c r="AF124" s="199">
        <v>18012</v>
      </c>
      <c r="AG124" s="199">
        <v>16456</v>
      </c>
      <c r="AH124" s="199">
        <v>38340</v>
      </c>
      <c r="AI124" s="199">
        <v>16560</v>
      </c>
      <c r="AJ124" s="199">
        <v>28466</v>
      </c>
      <c r="AK124" s="199">
        <v>33448</v>
      </c>
      <c r="AL124" s="199">
        <v>38004</v>
      </c>
      <c r="AM124" s="199">
        <v>33888</v>
      </c>
      <c r="AN124" s="199">
        <v>32654.000000000004</v>
      </c>
      <c r="AO124" s="199">
        <v>33168</v>
      </c>
      <c r="AP124" s="199">
        <v>32500</v>
      </c>
      <c r="AQ124" s="199">
        <v>38532</v>
      </c>
      <c r="AR124" s="199">
        <v>38172</v>
      </c>
      <c r="AS124" s="199">
        <v>16786</v>
      </c>
      <c r="AT124" s="199">
        <v>16956</v>
      </c>
      <c r="AU124" s="199">
        <v>16440</v>
      </c>
      <c r="AV124" s="199">
        <v>19100</v>
      </c>
      <c r="AW124" s="199">
        <v>19256</v>
      </c>
      <c r="AX124" s="96">
        <v>15.5</v>
      </c>
      <c r="AY124" s="96">
        <v>16.25</v>
      </c>
      <c r="AZ124" s="96">
        <v>14.91</v>
      </c>
      <c r="BA124" s="96">
        <v>10.41</v>
      </c>
      <c r="BB124" s="96">
        <v>14.44</v>
      </c>
      <c r="BC124" s="96">
        <v>13.08</v>
      </c>
      <c r="BD124" s="96">
        <v>15.09</v>
      </c>
      <c r="BE124" s="96">
        <v>13.35</v>
      </c>
      <c r="BF124" s="96">
        <v>12.67</v>
      </c>
      <c r="BG124" s="96">
        <v>13.34</v>
      </c>
      <c r="BH124" s="96">
        <v>15.33</v>
      </c>
      <c r="BI124" s="96">
        <v>15.97</v>
      </c>
      <c r="BJ124" s="96">
        <v>11.44</v>
      </c>
      <c r="BK124" s="96">
        <v>13.78</v>
      </c>
      <c r="BL124" s="96">
        <v>14.7</v>
      </c>
      <c r="BM124" s="96">
        <v>14.32</v>
      </c>
      <c r="BN124" s="96">
        <v>16.190000000000001</v>
      </c>
      <c r="BO124" s="96">
        <v>15.05</v>
      </c>
      <c r="BP124" s="96">
        <v>13.34</v>
      </c>
      <c r="BQ124" s="96">
        <v>12.82</v>
      </c>
      <c r="BR124" s="96">
        <v>14.32</v>
      </c>
      <c r="BS124" s="96">
        <v>13.86</v>
      </c>
      <c r="BT124" s="96">
        <v>13.72</v>
      </c>
      <c r="BU124" s="96">
        <v>14.21</v>
      </c>
      <c r="BV124" s="96">
        <v>13.44</v>
      </c>
      <c r="BW124" s="96">
        <v>14.89</v>
      </c>
      <c r="BX124" s="96">
        <v>14.26</v>
      </c>
      <c r="BY124" s="96">
        <v>13.14</v>
      </c>
      <c r="BZ124" s="96">
        <v>14.76</v>
      </c>
      <c r="CA124" s="96">
        <v>13.59</v>
      </c>
      <c r="CB124" s="96">
        <v>15.32</v>
      </c>
      <c r="CC124" s="96">
        <v>12.7</v>
      </c>
      <c r="CD124" s="96">
        <v>15.51</v>
      </c>
      <c r="CE124" s="96">
        <v>16.09</v>
      </c>
      <c r="CF124" s="96">
        <v>13.92</v>
      </c>
      <c r="CG124" s="96">
        <v>16.36</v>
      </c>
      <c r="CH124" s="96">
        <v>16.53</v>
      </c>
      <c r="CI124" s="96">
        <v>16.21</v>
      </c>
      <c r="CJ124" s="96">
        <v>15.81</v>
      </c>
      <c r="CK124" s="96">
        <v>14.71</v>
      </c>
      <c r="CL124" s="96">
        <v>15.44</v>
      </c>
      <c r="CM124" s="96">
        <v>15.28</v>
      </c>
      <c r="CN124" s="96">
        <v>17.649999999999999</v>
      </c>
      <c r="CO124" s="96">
        <v>15.59</v>
      </c>
      <c r="CP124" s="345">
        <f>SUM(Input_Raw[[#This Row],[P-01]:[P-56]])/1000</f>
        <v>1253.046</v>
      </c>
      <c r="CQ124" s="346">
        <f>IFERROR(AVERAGEIF(Input_Raw[[#This Row],[WS_P-01]:[WS_P-56]],"&lt;&gt;",Input_Raw[[#This Row],[WS_P-01]:[WS_P-56]]),"")</f>
        <v>14.529318181818178</v>
      </c>
      <c r="CR124" s="347">
        <f>MAX(Input_Raw[[#This Row],[WS_P-01]:[WS_P-56]])</f>
        <v>17.649999999999999</v>
      </c>
      <c r="CS124" s="347"/>
      <c r="CT124" s="348">
        <f>SUM(Input_Raw[[#This Row],[P-08]:[P-13]],Input_Raw[[#This Row],[P-25]:[P-28]])</f>
        <v>348566</v>
      </c>
      <c r="CU124" s="348"/>
      <c r="CV124" s="348">
        <f>SUM(Input_Raw[[#This Row],[P-04]],Input_Raw[[#This Row],[P-14]:[P-17]],Input_Raw[[#This Row],[P-19]:[P-20]],Input_Raw[[#This Row],[P-22]:[P-23]],Input_Raw[[#This Row],[P-34]],Input_Raw[[#This Row],[P-38]],Input_Raw[[#This Row],[P-43]])</f>
        <v>383646</v>
      </c>
      <c r="CW124" s="348"/>
      <c r="CX124" s="348">
        <f>SUM(Input_Raw[[#This Row],[P-05]:[P-06]],Input_Raw[[#This Row],[P-40]:[P-42]],Input_Raw[[#This Row],[P-45]],Input_Raw[[#This Row],[P-46]],Input_Raw[[#This Row],[P-47]:[P-48]])</f>
        <v>303516</v>
      </c>
      <c r="CY124" s="348"/>
      <c r="CZ124" s="348">
        <f>SUM(Input_Raw[[#This Row],[P-01]:[P-03]],Input_Raw[[#This Row],[P-07]],Input_Raw[[#This Row],[P-18]],Input_Raw[[#This Row],[P-31]:[P-32]],Input_Raw[[#This Row],[P-37]],Input_Raw[[#This Row],[P-50]:[P-56]])</f>
        <v>217318</v>
      </c>
      <c r="DA124" s="349"/>
      <c r="DB124" s="350">
        <f>Input_Raw[[#This Row],[33 kV_Wind_F1_Export reading]]/1000</f>
        <v>348.56599999999997</v>
      </c>
      <c r="DC124" s="350"/>
      <c r="DD124" s="350">
        <f>Input_Raw[[#This Row],[33 kV_Wind_F2_Export_reading]]/1000</f>
        <v>383.64600000000002</v>
      </c>
      <c r="DE124" s="350"/>
      <c r="DF124" s="350">
        <f>Input_Raw[[#This Row],[33 kV_Wind_F3_Export_Reading]]/1000</f>
        <v>303.51600000000002</v>
      </c>
      <c r="DG124" s="350"/>
      <c r="DH124" s="350">
        <f>Input_Raw[[#This Row],[33 kV_Wind_F4_Export Reading]]/1000</f>
        <v>217.31800000000001</v>
      </c>
      <c r="DI124" s="350"/>
      <c r="DJ124" s="350">
        <f>Input_Raw[[#This Row],[33 kV_F1_Total_Export (MWh)]]+Input_Raw[[#This Row],[33 kV_F2_Total_Export (MWh)2]]+Input_Raw[[#This Row],[33 kV_Wind_F3_Export (MWh)]]+Input_Raw[[#This Row],[33 kV_Wind_F4_Export (MWh)]]</f>
        <v>1253.046</v>
      </c>
      <c r="DK12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4" s="351">
        <f>IFERROR(Input_Raw[[#This Row],[33 kV_Wind_Total_Export (MWh)]]/Input_Raw[[#This Row],[WTG Total Gneration (MWh)]]-1,"")</f>
        <v>0</v>
      </c>
      <c r="DM124" s="352"/>
      <c r="DN124" s="186">
        <v>46</v>
      </c>
      <c r="DO124" s="186">
        <v>20213.38</v>
      </c>
      <c r="DP124" s="102">
        <v>1370.72</v>
      </c>
      <c r="DQ124" s="352"/>
      <c r="DR124" s="181">
        <v>70.400000000000006</v>
      </c>
    </row>
    <row r="125" spans="1:122">
      <c r="A125" s="92">
        <f t="shared" si="74"/>
        <v>45865</v>
      </c>
      <c r="B125" s="190">
        <f>YEAR(Input_Raw[[#This Row],[Date]])+IF(MONTH(Input_Raw[[#This Row],[Date]])&gt;=4,1,0)</f>
        <v>2026</v>
      </c>
      <c r="C125" s="190">
        <f>YEAR(Input_Raw[[#This Row],[Date]])</f>
        <v>2025</v>
      </c>
      <c r="D125" s="11">
        <f t="shared" ref="D125" si="174">A125-DAY(A125)+1</f>
        <v>45839</v>
      </c>
      <c r="E125" s="190">
        <f>DAY(EOMONTH(Input_Raw[[#This Row],[Date]],0))</f>
        <v>31</v>
      </c>
      <c r="F125" s="199">
        <v>38396</v>
      </c>
      <c r="G125" s="199">
        <v>37936</v>
      </c>
      <c r="H125" s="199">
        <v>36584</v>
      </c>
      <c r="I125" s="199">
        <v>29672</v>
      </c>
      <c r="J125" s="199">
        <v>38196</v>
      </c>
      <c r="K125" s="199">
        <v>32540</v>
      </c>
      <c r="L125" s="199">
        <v>38272</v>
      </c>
      <c r="M125" s="199">
        <v>36652</v>
      </c>
      <c r="N125" s="199">
        <v>33924</v>
      </c>
      <c r="O125" s="199">
        <v>34188</v>
      </c>
      <c r="P125" s="199">
        <v>37610</v>
      </c>
      <c r="Q125" s="199">
        <v>38116</v>
      </c>
      <c r="R125" s="199">
        <v>25904</v>
      </c>
      <c r="S125" s="199">
        <v>36648</v>
      </c>
      <c r="T125" s="199">
        <v>35512</v>
      </c>
      <c r="U125" s="199">
        <v>37658</v>
      </c>
      <c r="V125" s="199">
        <v>36288</v>
      </c>
      <c r="W125" s="199">
        <v>37520</v>
      </c>
      <c r="X125" s="199">
        <v>37944</v>
      </c>
      <c r="Y125" s="199">
        <v>37184</v>
      </c>
      <c r="Z125" s="199">
        <v>38176</v>
      </c>
      <c r="AA125" s="199">
        <v>35836</v>
      </c>
      <c r="AB125" s="199">
        <v>37616</v>
      </c>
      <c r="AC125" s="199">
        <v>37772</v>
      </c>
      <c r="AD125" s="199">
        <v>38156</v>
      </c>
      <c r="AE125" s="199">
        <v>38220</v>
      </c>
      <c r="AF125" s="199">
        <v>35152</v>
      </c>
      <c r="AG125" s="199">
        <v>36688</v>
      </c>
      <c r="AH125" s="199">
        <v>38336</v>
      </c>
      <c r="AI125" s="199">
        <v>37734</v>
      </c>
      <c r="AJ125" s="199">
        <v>38174</v>
      </c>
      <c r="AK125" s="199">
        <v>36132</v>
      </c>
      <c r="AL125" s="199">
        <v>38216</v>
      </c>
      <c r="AM125" s="199">
        <v>38316</v>
      </c>
      <c r="AN125" s="199">
        <v>36644</v>
      </c>
      <c r="AO125" s="199">
        <v>38656</v>
      </c>
      <c r="AP125" s="199">
        <v>37188</v>
      </c>
      <c r="AQ125" s="199">
        <v>38328</v>
      </c>
      <c r="AR125" s="199">
        <v>38540</v>
      </c>
      <c r="AS125" s="199">
        <v>37320</v>
      </c>
      <c r="AT125" s="199">
        <v>38480</v>
      </c>
      <c r="AU125" s="199">
        <v>38552</v>
      </c>
      <c r="AV125" s="199">
        <v>38776</v>
      </c>
      <c r="AW125" s="199">
        <v>38724</v>
      </c>
      <c r="AX125" s="96">
        <v>14.55</v>
      </c>
      <c r="AY125" s="96">
        <v>15.06</v>
      </c>
      <c r="AZ125" s="96">
        <v>13.75</v>
      </c>
      <c r="BA125" s="96">
        <v>12.54</v>
      </c>
      <c r="BB125" s="96">
        <v>14.09</v>
      </c>
      <c r="BC125" s="96">
        <v>15.15</v>
      </c>
      <c r="BD125" s="96">
        <v>14.35</v>
      </c>
      <c r="BE125" s="96">
        <v>12.99</v>
      </c>
      <c r="BF125" s="96">
        <v>12.21</v>
      </c>
      <c r="BG125" s="96">
        <v>12.73</v>
      </c>
      <c r="BH125" s="96">
        <v>14.76</v>
      </c>
      <c r="BI125" s="96">
        <v>15.64</v>
      </c>
      <c r="BJ125" s="96">
        <v>9.7799999999999994</v>
      </c>
      <c r="BK125" s="96">
        <v>13.55</v>
      </c>
      <c r="BL125" s="96">
        <v>14.62</v>
      </c>
      <c r="BM125" s="96">
        <v>13.8</v>
      </c>
      <c r="BN125" s="96">
        <v>16.12</v>
      </c>
      <c r="BO125" s="96">
        <v>13.81</v>
      </c>
      <c r="BP125" s="96">
        <v>13.8</v>
      </c>
      <c r="BQ125" s="96">
        <v>12.57</v>
      </c>
      <c r="BR125" s="96">
        <v>14.11</v>
      </c>
      <c r="BS125" s="96">
        <v>13.29</v>
      </c>
      <c r="BT125" s="96">
        <v>13.19</v>
      </c>
      <c r="BU125" s="96">
        <v>13.78</v>
      </c>
      <c r="BV125" s="96">
        <v>12.84</v>
      </c>
      <c r="BW125" s="96">
        <v>14.63</v>
      </c>
      <c r="BX125" s="96">
        <v>12.66</v>
      </c>
      <c r="BY125" s="96">
        <v>12.58</v>
      </c>
      <c r="BZ125" s="96">
        <v>14.52</v>
      </c>
      <c r="CA125" s="96">
        <v>13.26</v>
      </c>
      <c r="CB125" s="96">
        <v>15.02</v>
      </c>
      <c r="CC125" s="96">
        <v>12.88</v>
      </c>
      <c r="CD125" s="96">
        <v>15.12</v>
      </c>
      <c r="CE125" s="96">
        <v>15.69</v>
      </c>
      <c r="CF125" s="96">
        <v>13.05</v>
      </c>
      <c r="CG125" s="96">
        <v>16.11</v>
      </c>
      <c r="CH125" s="96">
        <v>16.079999999999998</v>
      </c>
      <c r="CI125" s="96">
        <v>15.52</v>
      </c>
      <c r="CJ125" s="96">
        <v>15.48</v>
      </c>
      <c r="CK125" s="96">
        <v>13.61</v>
      </c>
      <c r="CL125" s="96">
        <v>14.73</v>
      </c>
      <c r="CM125" s="96">
        <v>14.57</v>
      </c>
      <c r="CN125" s="96">
        <v>16.73</v>
      </c>
      <c r="CO125" s="96">
        <v>14.92</v>
      </c>
      <c r="CP125" s="345">
        <f>SUM(Input_Raw[[#This Row],[P-01]:[P-56]])/1000</f>
        <v>1622.4760000000001</v>
      </c>
      <c r="CQ125" s="346">
        <f>IFERROR(AVERAGEIF(Input_Raw[[#This Row],[WS_P-01]:[WS_P-56]],"&lt;&gt;",Input_Raw[[#This Row],[WS_P-01]:[WS_P-56]]),"")</f>
        <v>14.096363636363636</v>
      </c>
      <c r="CR125" s="347">
        <f>MAX(Input_Raw[[#This Row],[WS_P-01]:[WS_P-56]])</f>
        <v>16.73</v>
      </c>
      <c r="CS125" s="347"/>
      <c r="CT125" s="348">
        <f>SUM(Input_Raw[[#This Row],[P-08]:[P-13]],Input_Raw[[#This Row],[P-25]:[P-28]])</f>
        <v>358158</v>
      </c>
      <c r="CU125" s="348"/>
      <c r="CV125" s="348">
        <f>SUM(Input_Raw[[#This Row],[P-04]],Input_Raw[[#This Row],[P-14]:[P-17]],Input_Raw[[#This Row],[P-19]:[P-20]],Input_Raw[[#This Row],[P-22]:[P-23]],Input_Raw[[#This Row],[P-34]],Input_Raw[[#This Row],[P-38]],Input_Raw[[#This Row],[P-43]])</f>
        <v>438072</v>
      </c>
      <c r="CW125" s="348"/>
      <c r="CX125" s="348">
        <f>SUM(Input_Raw[[#This Row],[P-05]:[P-06]],Input_Raw[[#This Row],[P-40]:[P-42]],Input_Raw[[#This Row],[P-45]],Input_Raw[[#This Row],[P-46]],Input_Raw[[#This Row],[P-47]:[P-48]])</f>
        <v>336112</v>
      </c>
      <c r="CY125" s="348"/>
      <c r="CZ125" s="348">
        <f>SUM(Input_Raw[[#This Row],[P-01]:[P-03]],Input_Raw[[#This Row],[P-07]],Input_Raw[[#This Row],[P-18]],Input_Raw[[#This Row],[P-31]:[P-32]],Input_Raw[[#This Row],[P-37]],Input_Raw[[#This Row],[P-50]:[P-56]])</f>
        <v>490134</v>
      </c>
      <c r="DA125" s="349"/>
      <c r="DB125" s="350">
        <f>Input_Raw[[#This Row],[33 kV_Wind_F1_Export reading]]/1000</f>
        <v>358.15800000000002</v>
      </c>
      <c r="DC125" s="350"/>
      <c r="DD125" s="350">
        <f>Input_Raw[[#This Row],[33 kV_Wind_F2_Export_reading]]/1000</f>
        <v>438.072</v>
      </c>
      <c r="DE125" s="350"/>
      <c r="DF125" s="350">
        <f>Input_Raw[[#This Row],[33 kV_Wind_F3_Export_Reading]]/1000</f>
        <v>336.11200000000002</v>
      </c>
      <c r="DG125" s="350"/>
      <c r="DH125" s="350">
        <f>Input_Raw[[#This Row],[33 kV_Wind_F4_Export Reading]]/1000</f>
        <v>490.13400000000001</v>
      </c>
      <c r="DI125" s="350"/>
      <c r="DJ125" s="350">
        <f>Input_Raw[[#This Row],[33 kV_F1_Total_Export (MWh)]]+Input_Raw[[#This Row],[33 kV_F2_Total_Export (MWh)2]]+Input_Raw[[#This Row],[33 kV_Wind_F3_Export (MWh)]]+Input_Raw[[#This Row],[33 kV_Wind_F4_Export (MWh)]]</f>
        <v>1622.4760000000001</v>
      </c>
      <c r="DK12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5" s="351">
        <f>IFERROR(Input_Raw[[#This Row],[33 kV_Wind_Total_Export (MWh)]]/Input_Raw[[#This Row],[WTG Total Gneration (MWh)]]-1,"")</f>
        <v>0</v>
      </c>
      <c r="DM125" s="352"/>
      <c r="DN125" s="186">
        <v>89</v>
      </c>
      <c r="DO125" s="186">
        <v>195.25</v>
      </c>
      <c r="DP125" s="102">
        <v>1666.19</v>
      </c>
      <c r="DQ125" s="352"/>
      <c r="DR125" s="181">
        <v>70.400000000000006</v>
      </c>
    </row>
    <row r="126" spans="1:122">
      <c r="A126" s="92">
        <f t="shared" si="74"/>
        <v>45866</v>
      </c>
      <c r="B126" s="190">
        <f>YEAR(Input_Raw[[#This Row],[Date]])+IF(MONTH(Input_Raw[[#This Row],[Date]])&gt;=4,1,0)</f>
        <v>2026</v>
      </c>
      <c r="C126" s="190">
        <f>YEAR(Input_Raw[[#This Row],[Date]])</f>
        <v>2025</v>
      </c>
      <c r="D126" s="11">
        <f t="shared" ref="D126" si="175">A126-DAY(A126)+1</f>
        <v>45839</v>
      </c>
      <c r="E126" s="190">
        <f>DAY(EOMONTH(Input_Raw[[#This Row],[Date]],0))</f>
        <v>31</v>
      </c>
      <c r="F126" s="199">
        <v>38076</v>
      </c>
      <c r="G126" s="199">
        <v>36860</v>
      </c>
      <c r="H126" s="199">
        <v>35420</v>
      </c>
      <c r="I126" s="199">
        <v>35770</v>
      </c>
      <c r="J126" s="199">
        <v>37832</v>
      </c>
      <c r="K126" s="199">
        <v>37396</v>
      </c>
      <c r="L126" s="199">
        <v>36538</v>
      </c>
      <c r="M126" s="199">
        <v>35410</v>
      </c>
      <c r="N126" s="199">
        <v>32940</v>
      </c>
      <c r="O126" s="199">
        <v>32998</v>
      </c>
      <c r="P126" s="199">
        <v>37444</v>
      </c>
      <c r="Q126" s="199">
        <v>38332</v>
      </c>
      <c r="R126" s="199">
        <v>38256</v>
      </c>
      <c r="S126" s="199">
        <v>32628</v>
      </c>
      <c r="T126" s="199">
        <v>34090</v>
      </c>
      <c r="U126" s="199">
        <v>37018</v>
      </c>
      <c r="V126" s="199">
        <v>37598</v>
      </c>
      <c r="W126" s="199">
        <v>36400</v>
      </c>
      <c r="X126" s="199">
        <v>18720</v>
      </c>
      <c r="Y126" s="199">
        <v>35767</v>
      </c>
      <c r="Z126" s="199">
        <v>37400</v>
      </c>
      <c r="AA126" s="199">
        <v>23336</v>
      </c>
      <c r="AB126" s="199">
        <v>36528</v>
      </c>
      <c r="AC126" s="199">
        <v>37380</v>
      </c>
      <c r="AD126" s="199">
        <v>38036</v>
      </c>
      <c r="AE126" s="199">
        <v>37672</v>
      </c>
      <c r="AF126" s="199">
        <v>32956</v>
      </c>
      <c r="AG126" s="199">
        <v>34988</v>
      </c>
      <c r="AH126" s="199">
        <v>37616</v>
      </c>
      <c r="AI126" s="199">
        <v>36592</v>
      </c>
      <c r="AJ126" s="199">
        <v>37454</v>
      </c>
      <c r="AK126" s="199">
        <v>34036</v>
      </c>
      <c r="AL126" s="199">
        <v>37600</v>
      </c>
      <c r="AM126" s="199">
        <v>37736</v>
      </c>
      <c r="AN126" s="199">
        <v>35528</v>
      </c>
      <c r="AO126" s="199">
        <v>38444</v>
      </c>
      <c r="AP126" s="199">
        <v>38532</v>
      </c>
      <c r="AQ126" s="199">
        <v>38012</v>
      </c>
      <c r="AR126" s="199">
        <v>38324</v>
      </c>
      <c r="AS126" s="199">
        <v>36164</v>
      </c>
      <c r="AT126" s="199">
        <v>37804</v>
      </c>
      <c r="AU126" s="199">
        <v>37772</v>
      </c>
      <c r="AV126" s="199">
        <v>38572</v>
      </c>
      <c r="AW126" s="199">
        <v>38280</v>
      </c>
      <c r="AX126" s="96">
        <v>13.22</v>
      </c>
      <c r="AY126" s="96">
        <v>13.37</v>
      </c>
      <c r="AZ126" s="96">
        <v>12.32</v>
      </c>
      <c r="BA126" s="96">
        <v>14.11</v>
      </c>
      <c r="BB126" s="96">
        <v>12.97</v>
      </c>
      <c r="BC126" s="96">
        <v>14.57</v>
      </c>
      <c r="BD126" s="96">
        <v>12.11</v>
      </c>
      <c r="BE126" s="96">
        <v>12.19</v>
      </c>
      <c r="BF126" s="96">
        <v>11.64</v>
      </c>
      <c r="BG126" s="96">
        <v>12.2</v>
      </c>
      <c r="BH126" s="96">
        <v>13.64</v>
      </c>
      <c r="BI126" s="96">
        <v>14.49</v>
      </c>
      <c r="BJ126" s="96">
        <v>11.26</v>
      </c>
      <c r="BK126" s="96">
        <v>12.47</v>
      </c>
      <c r="BL126" s="96">
        <v>13.47</v>
      </c>
      <c r="BM126" s="96">
        <v>12.87</v>
      </c>
      <c r="BN126" s="96">
        <v>14.74</v>
      </c>
      <c r="BO126" s="96">
        <v>12.51</v>
      </c>
      <c r="BP126" s="96">
        <v>12.06</v>
      </c>
      <c r="BQ126" s="96">
        <v>11.65</v>
      </c>
      <c r="BR126" s="96">
        <v>13.05</v>
      </c>
      <c r="BS126" s="96">
        <v>11.83</v>
      </c>
      <c r="BT126" s="96">
        <v>12.26</v>
      </c>
      <c r="BU126" s="96">
        <v>13.03</v>
      </c>
      <c r="BV126" s="96">
        <v>12.07</v>
      </c>
      <c r="BW126" s="96">
        <v>13.47</v>
      </c>
      <c r="BX126" s="96">
        <v>11.31</v>
      </c>
      <c r="BY126" s="96">
        <v>11.5</v>
      </c>
      <c r="BZ126" s="96">
        <v>13.33</v>
      </c>
      <c r="CA126" s="96">
        <v>12.24</v>
      </c>
      <c r="CB126" s="96">
        <v>13.77</v>
      </c>
      <c r="CC126" s="96">
        <v>12</v>
      </c>
      <c r="CD126" s="96">
        <v>14.06</v>
      </c>
      <c r="CE126" s="96">
        <v>14.11</v>
      </c>
      <c r="CF126" s="96">
        <v>12.15</v>
      </c>
      <c r="CG126" s="96">
        <v>14.8</v>
      </c>
      <c r="CH126" s="96">
        <v>14.64</v>
      </c>
      <c r="CI126" s="96">
        <v>13.97</v>
      </c>
      <c r="CJ126" s="96">
        <v>14.14</v>
      </c>
      <c r="CK126" s="96">
        <v>12.5</v>
      </c>
      <c r="CL126" s="96">
        <v>13.45</v>
      </c>
      <c r="CM126" s="96">
        <v>13.09</v>
      </c>
      <c r="CN126" s="96">
        <v>15.15</v>
      </c>
      <c r="CO126" s="96">
        <v>13.62</v>
      </c>
      <c r="CP126" s="345">
        <f>SUM(Input_Raw[[#This Row],[P-01]:[P-56]])/1000</f>
        <v>1582.2550000000001</v>
      </c>
      <c r="CQ126" s="346">
        <f>IFERROR(AVERAGEIF(Input_Raw[[#This Row],[WS_P-01]:[WS_P-56]],"&lt;&gt;",Input_Raw[[#This Row],[WS_P-01]:[WS_P-56]]),"")</f>
        <v>13.031818181818181</v>
      </c>
      <c r="CR126" s="347">
        <f>MAX(Input_Raw[[#This Row],[WS_P-01]:[WS_P-56]])</f>
        <v>15.15</v>
      </c>
      <c r="CS126" s="347"/>
      <c r="CT126" s="348">
        <f>SUM(Input_Raw[[#This Row],[P-08]:[P-13]],Input_Raw[[#This Row],[P-25]:[P-28]])</f>
        <v>364996</v>
      </c>
      <c r="CU126" s="348"/>
      <c r="CV126" s="348">
        <f>SUM(Input_Raw[[#This Row],[P-04]],Input_Raw[[#This Row],[P-14]:[P-17]],Input_Raw[[#This Row],[P-19]:[P-20]],Input_Raw[[#This Row],[P-22]:[P-23]],Input_Raw[[#This Row],[P-34]],Input_Raw[[#This Row],[P-38]],Input_Raw[[#This Row],[P-43]])</f>
        <v>402925</v>
      </c>
      <c r="CW126" s="348"/>
      <c r="CX126" s="348">
        <f>SUM(Input_Raw[[#This Row],[P-05]:[P-06]],Input_Raw[[#This Row],[P-40]:[P-42]],Input_Raw[[#This Row],[P-45]],Input_Raw[[#This Row],[P-46]],Input_Raw[[#This Row],[P-47]:[P-48]])</f>
        <v>337912</v>
      </c>
      <c r="CY126" s="348"/>
      <c r="CZ126" s="348">
        <f>SUM(Input_Raw[[#This Row],[P-01]:[P-03]],Input_Raw[[#This Row],[P-07]],Input_Raw[[#This Row],[P-18]],Input_Raw[[#This Row],[P-31]:[P-32]],Input_Raw[[#This Row],[P-37]],Input_Raw[[#This Row],[P-50]:[P-56]])</f>
        <v>476422</v>
      </c>
      <c r="DA126" s="349"/>
      <c r="DB126" s="350">
        <f>Input_Raw[[#This Row],[33 kV_Wind_F1_Export reading]]/1000</f>
        <v>364.99599999999998</v>
      </c>
      <c r="DC126" s="350"/>
      <c r="DD126" s="350">
        <f>Input_Raw[[#This Row],[33 kV_Wind_F2_Export_reading]]/1000</f>
        <v>402.92500000000001</v>
      </c>
      <c r="DE126" s="350"/>
      <c r="DF126" s="350">
        <f>Input_Raw[[#This Row],[33 kV_Wind_F3_Export_Reading]]/1000</f>
        <v>337.91199999999998</v>
      </c>
      <c r="DG126" s="350"/>
      <c r="DH126" s="350">
        <f>Input_Raw[[#This Row],[33 kV_Wind_F4_Export Reading]]/1000</f>
        <v>476.42200000000003</v>
      </c>
      <c r="DI126" s="350"/>
      <c r="DJ126" s="350">
        <f>Input_Raw[[#This Row],[33 kV_F1_Total_Export (MWh)]]+Input_Raw[[#This Row],[33 kV_F2_Total_Export (MWh)2]]+Input_Raw[[#This Row],[33 kV_Wind_F3_Export (MWh)]]+Input_Raw[[#This Row],[33 kV_Wind_F4_Export (MWh)]]</f>
        <v>1582.2550000000001</v>
      </c>
      <c r="DK12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6" s="351">
        <f>IFERROR(Input_Raw[[#This Row],[33 kV_Wind_Total_Export (MWh)]]/Input_Raw[[#This Row],[WTG Total Gneration (MWh)]]-1,"")</f>
        <v>0</v>
      </c>
      <c r="DM126" s="352"/>
      <c r="DN126" s="186">
        <v>22</v>
      </c>
      <c r="DO126" s="186">
        <v>0</v>
      </c>
      <c r="DP126" s="102">
        <v>1643.41</v>
      </c>
      <c r="DQ126" s="352"/>
      <c r="DR126" s="181">
        <v>70.400000000000006</v>
      </c>
    </row>
    <row r="127" spans="1:122">
      <c r="F127" s="199"/>
      <c r="G127" s="199"/>
      <c r="H127" s="199"/>
      <c r="I127" s="199"/>
      <c r="J127" s="199"/>
      <c r="K127" s="199"/>
      <c r="L127" s="199"/>
      <c r="M127" s="199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  <c r="AB127" s="199"/>
      <c r="AC127" s="199"/>
      <c r="AD127" s="199"/>
      <c r="AE127" s="199"/>
      <c r="AF127" s="199"/>
      <c r="AG127" s="199"/>
      <c r="AH127" s="199"/>
      <c r="AI127" s="199"/>
      <c r="AJ127" s="199"/>
      <c r="AK127" s="199"/>
      <c r="AL127" s="199"/>
      <c r="AM127" s="199"/>
      <c r="AN127" s="199"/>
      <c r="AO127" s="199"/>
      <c r="AP127" s="199"/>
      <c r="AQ127" s="199"/>
      <c r="AR127" s="199"/>
      <c r="AS127" s="199"/>
      <c r="AT127" s="199"/>
      <c r="AU127" s="199"/>
      <c r="AV127" s="199"/>
      <c r="AW127" s="199"/>
      <c r="AX127" s="199"/>
      <c r="AY127" s="199"/>
      <c r="AZ127" s="199"/>
    </row>
    <row r="128" spans="1:122">
      <c r="F128" s="199"/>
      <c r="G128" s="199"/>
      <c r="H128" s="199"/>
      <c r="I128" s="199"/>
      <c r="J128" s="199"/>
      <c r="K128" s="199"/>
      <c r="L128" s="199"/>
      <c r="M128" s="199"/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199"/>
      <c r="Y128" s="199"/>
      <c r="Z128" s="199"/>
      <c r="AA128" s="199"/>
      <c r="AB128" s="199"/>
      <c r="AC128" s="199"/>
      <c r="AD128" s="199"/>
      <c r="AE128" s="199"/>
      <c r="AF128" s="199"/>
      <c r="AG128" s="199"/>
      <c r="AH128" s="199"/>
      <c r="AI128" s="199"/>
      <c r="AJ128" s="199"/>
      <c r="AK128" s="199"/>
      <c r="AL128" s="199"/>
      <c r="AM128" s="199"/>
      <c r="AN128" s="199"/>
      <c r="AO128" s="199"/>
      <c r="AP128" s="199"/>
      <c r="AQ128" s="199"/>
      <c r="AR128" s="199"/>
      <c r="AS128" s="199"/>
      <c r="AT128" s="199"/>
      <c r="AU128" s="199"/>
      <c r="AV128" s="199"/>
      <c r="AW128" s="199"/>
      <c r="AX128" s="199"/>
      <c r="AY128" s="199"/>
      <c r="AZ128" s="199"/>
    </row>
    <row r="129" spans="6:50"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211"/>
      <c r="AL129" s="211"/>
      <c r="AM129" s="211"/>
      <c r="AN129" s="211"/>
      <c r="AO129" s="211"/>
      <c r="AP129" s="211"/>
      <c r="AQ129" s="211"/>
      <c r="AR129" s="211"/>
      <c r="AS129" s="211"/>
      <c r="AT129" s="211"/>
      <c r="AU129" s="211"/>
      <c r="AV129" s="211"/>
      <c r="AW129" s="211"/>
      <c r="AX129" s="211"/>
    </row>
    <row r="130" spans="6:50">
      <c r="F130" s="211"/>
      <c r="G130" s="211"/>
      <c r="H130" s="211"/>
      <c r="I130" s="211"/>
      <c r="J130" s="211"/>
      <c r="K130" s="211"/>
      <c r="L130" s="211"/>
      <c r="M130" s="211"/>
      <c r="N130" s="211"/>
      <c r="O130" s="211"/>
      <c r="P130" s="211"/>
      <c r="Q130" s="211"/>
      <c r="R130" s="211"/>
      <c r="S130" s="211"/>
      <c r="T130" s="211"/>
      <c r="U130" s="211"/>
      <c r="V130" s="211"/>
      <c r="W130" s="211"/>
      <c r="X130" s="211"/>
      <c r="Y130" s="211"/>
      <c r="Z130" s="211"/>
      <c r="AA130" s="211"/>
      <c r="AB130" s="211"/>
      <c r="AC130" s="211"/>
      <c r="AD130" s="211"/>
      <c r="AE130" s="211"/>
      <c r="AF130" s="211"/>
      <c r="AG130" s="211"/>
      <c r="AH130" s="211"/>
      <c r="AI130" s="211"/>
      <c r="AJ130" s="211"/>
      <c r="AK130" s="211"/>
      <c r="AL130" s="211"/>
      <c r="AM130" s="211"/>
      <c r="AN130" s="211"/>
      <c r="AO130" s="211"/>
      <c r="AP130" s="211"/>
      <c r="AQ130" s="211"/>
      <c r="AR130" s="211"/>
      <c r="AS130" s="211"/>
      <c r="AT130" s="211"/>
      <c r="AU130" s="211"/>
      <c r="AV130" s="211"/>
      <c r="AW130" s="211"/>
      <c r="AX130" s="211"/>
    </row>
    <row r="131" spans="6:50">
      <c r="F131" s="211"/>
      <c r="G131" s="211"/>
      <c r="H131" s="211"/>
      <c r="I131" s="211"/>
      <c r="J131" s="211"/>
      <c r="K131" s="211"/>
      <c r="L131" s="211"/>
      <c r="M131" s="211"/>
      <c r="N131" s="211"/>
      <c r="O131" s="211"/>
      <c r="P131" s="211"/>
      <c r="Q131" s="211"/>
      <c r="R131" s="211"/>
      <c r="S131" s="211"/>
      <c r="T131" s="211"/>
      <c r="U131" s="211"/>
      <c r="V131" s="211"/>
      <c r="W131" s="211"/>
      <c r="X131" s="211"/>
      <c r="Y131" s="211"/>
      <c r="Z131" s="211"/>
      <c r="AA131" s="211"/>
      <c r="AB131" s="211"/>
      <c r="AC131" s="211"/>
      <c r="AD131" s="211"/>
      <c r="AE131" s="211"/>
      <c r="AF131" s="211"/>
      <c r="AG131" s="211"/>
      <c r="AH131" s="211"/>
      <c r="AI131" s="211"/>
      <c r="AJ131" s="211"/>
      <c r="AK131" s="211"/>
      <c r="AL131" s="211"/>
      <c r="AM131" s="211"/>
      <c r="AN131" s="211"/>
      <c r="AO131" s="211"/>
      <c r="AP131" s="211"/>
      <c r="AQ131" s="211"/>
      <c r="AR131" s="211"/>
      <c r="AS131" s="211"/>
      <c r="AT131" s="211"/>
      <c r="AU131" s="211"/>
      <c r="AV131" s="211"/>
      <c r="AW131" s="211"/>
      <c r="AX131" s="211"/>
    </row>
    <row r="132" spans="6:50">
      <c r="F132" s="211"/>
      <c r="G132" s="211"/>
      <c r="H132" s="211"/>
      <c r="I132" s="211"/>
      <c r="J132" s="211"/>
      <c r="K132" s="211"/>
      <c r="L132" s="211"/>
      <c r="M132" s="211"/>
      <c r="N132" s="211"/>
      <c r="O132" s="211"/>
      <c r="P132" s="211"/>
      <c r="Q132" s="211"/>
      <c r="R132" s="211"/>
      <c r="S132" s="211"/>
      <c r="T132" s="211"/>
      <c r="U132" s="211"/>
      <c r="V132" s="211"/>
      <c r="W132" s="211"/>
      <c r="X132" s="211"/>
      <c r="Y132" s="211"/>
      <c r="Z132" s="211"/>
      <c r="AA132" s="211"/>
      <c r="AB132" s="211"/>
      <c r="AC132" s="211"/>
      <c r="AD132" s="211"/>
      <c r="AE132" s="211"/>
      <c r="AF132" s="211"/>
      <c r="AG132" s="211"/>
      <c r="AH132" s="211"/>
      <c r="AI132" s="211"/>
      <c r="AJ132" s="211"/>
      <c r="AK132" s="211"/>
      <c r="AL132" s="211"/>
      <c r="AM132" s="211"/>
      <c r="AN132" s="211"/>
      <c r="AO132" s="211"/>
      <c r="AP132" s="211"/>
      <c r="AQ132" s="211"/>
      <c r="AR132" s="211"/>
      <c r="AS132" s="211"/>
      <c r="AT132" s="211"/>
      <c r="AU132" s="211"/>
      <c r="AV132" s="211"/>
      <c r="AW132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20"/>
  <sheetViews>
    <sheetView workbookViewId="0">
      <pane xSplit="6" ySplit="1" topLeftCell="G394" activePane="bottomRight" state="frozen"/>
      <selection pane="topRight" activeCell="G1" sqref="G1"/>
      <selection pane="bottomLeft" activeCell="A2" sqref="A2"/>
      <selection pane="bottomRight" activeCell="A398" sqref="A398"/>
    </sheetView>
  </sheetViews>
  <sheetFormatPr defaultRowHeight="14.5"/>
  <cols>
    <col min="2" max="2" width="8.453125" customWidth="1"/>
    <col min="3" max="3" width="9.6328125" customWidth="1"/>
    <col min="4" max="4" width="10.6328125" customWidth="1"/>
    <col min="6" max="6" width="11.36328125" customWidth="1"/>
    <col min="7" max="7" width="12.453125" style="1" customWidth="1"/>
    <col min="9" max="9" width="9.90625" customWidth="1"/>
    <col min="10" max="10" width="17" customWidth="1"/>
    <col min="11" max="11" width="10.08984375" customWidth="1"/>
    <col min="12" max="12" width="30.453125" customWidth="1"/>
    <col min="13" max="13" width="51.36328125" bestFit="1" customWidth="1"/>
    <col min="14" max="14" width="13.08984375" customWidth="1"/>
    <col min="15" max="15" width="18" style="1" customWidth="1"/>
    <col min="16" max="16" width="18.453125" customWidth="1"/>
    <col min="17" max="17" width="16.6328125" customWidth="1"/>
    <col min="18" max="18" width="13.08984375" style="1" customWidth="1"/>
    <col min="19" max="19" width="13.90625" customWidth="1"/>
    <col min="20" max="20" width="14.453125" customWidth="1"/>
    <col min="21" max="21" width="50" customWidth="1"/>
    <col min="23" max="23" width="13.54296875" style="1" customWidth="1"/>
    <col min="24" max="24" width="29.36328125" customWidth="1"/>
    <col min="25" max="25" width="15.08984375" customWidth="1"/>
    <col min="26" max="26" width="14.90625" customWidth="1"/>
    <col min="27" max="27" width="15.453125" customWidth="1"/>
    <col min="28" max="28" width="10" customWidth="1"/>
    <col min="29" max="29" width="8.9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88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5" spans="1:30">
      <c r="A365" s="79">
        <f t="shared" si="20"/>
        <v>364</v>
      </c>
      <c r="B365" s="283">
        <f>YEAR(Table5[[#This Row],[Date]])+IF(MONTH(Table5[[#This Row],[Date]])&gt;=4,1,0)</f>
        <v>2026</v>
      </c>
      <c r="C365" s="79">
        <f>YEAR(Table5[[#This Row],[Date]])</f>
        <v>2025</v>
      </c>
      <c r="D365" s="79" t="s">
        <v>344</v>
      </c>
      <c r="E365" s="284">
        <f>Table5[[#This Row],[Date]]-DAY(Table5[[#This Row],[Date]])+1</f>
        <v>45839</v>
      </c>
      <c r="F365" s="285">
        <v>45860</v>
      </c>
      <c r="G365" s="79" t="s">
        <v>113</v>
      </c>
      <c r="H365" s="23" t="str">
        <f>IFERROR(_xlfn.XLOOKUP(Table5[[#This Row],[Affected WTG]],'Basic Data'!$A:$A,'Basic Data'!$B:$B),"")</f>
        <v>PWEPL</v>
      </c>
      <c r="I365" s="23" t="str">
        <f>IFERROR(_xlfn.XLOOKUP(Table5[[#This Row],[Affected WTG]],'Basic Data'!$A:$A,'Basic Data'!$C:$C),"")</f>
        <v>MSEDCL</v>
      </c>
      <c r="J365" s="286">
        <f>IFERROR(_xlfn.XLOOKUP(Table5[[#This Row],[Affected WTG]],'Basic Data'!$A:$A,'Basic Data'!$E:$E),"")</f>
        <v>2.2727272727272728E-2</v>
      </c>
      <c r="K365" s="79">
        <v>142</v>
      </c>
      <c r="L365" s="23" t="str">
        <f>IFERROR(_xlfn.XLOOKUP(Table5[[#This Row],[Error Code]],'Basic Data'!$W:$W,'Basic Data'!$X:$X),"Incorrect Error Code")</f>
        <v>Line CCU collective faults</v>
      </c>
      <c r="M365" s="23" t="s">
        <v>149</v>
      </c>
      <c r="N365" s="23"/>
      <c r="O365" s="355">
        <v>0.54166666666666663</v>
      </c>
      <c r="P365" s="355">
        <v>0.54166666666666663</v>
      </c>
      <c r="Q365" s="355">
        <v>0.58750000000000002</v>
      </c>
      <c r="R365" s="341">
        <f t="shared" ref="R365:R366" si="31">Q365-O365</f>
        <v>4.5833333333333393E-2</v>
      </c>
      <c r="S365" s="353">
        <f>(Table5[[#This Row],[Fault Clearance time]]-Table5[[#This Row],[Work Start TimeStamp]])*24</f>
        <v>1.1000000000000014</v>
      </c>
      <c r="T365" s="353">
        <f>(Table5[[#This Row],[Fault Clearance time]]-Table5[[#This Row],[Fault Start TimeStamp]])*24</f>
        <v>1.1000000000000014</v>
      </c>
      <c r="U365" s="23" t="s">
        <v>790</v>
      </c>
      <c r="V365" s="79" t="s">
        <v>339</v>
      </c>
      <c r="W365" s="354">
        <f>IFERROR(Table5[[#This Row],[Breakdown Time]]*Table5[[#This Row],[Plant Equivalent Weightage]],"")</f>
        <v>2.5000000000000033E-2</v>
      </c>
      <c r="X365" s="289" t="s">
        <v>343</v>
      </c>
      <c r="Y365" s="290" t="s">
        <v>114</v>
      </c>
      <c r="Z365" s="79"/>
      <c r="AA365" s="283">
        <v>584</v>
      </c>
      <c r="AB365" s="79"/>
      <c r="AC365" s="23"/>
      <c r="AD365" s="23"/>
    </row>
    <row r="366" spans="1:30">
      <c r="A366" s="79">
        <f t="shared" si="20"/>
        <v>365</v>
      </c>
      <c r="B366" s="283">
        <f>YEAR(Table5[[#This Row],[Date]])+IF(MONTH(Table5[[#This Row],[Date]])&gt;=4,1,0)</f>
        <v>2026</v>
      </c>
      <c r="C366" s="79">
        <f>YEAR(Table5[[#This Row],[Date]])</f>
        <v>2025</v>
      </c>
      <c r="D366" s="79" t="s">
        <v>344</v>
      </c>
      <c r="E366" s="284">
        <f>Table5[[#This Row],[Date]]-DAY(Table5[[#This Row],[Date]])+1</f>
        <v>45839</v>
      </c>
      <c r="F366" s="285">
        <v>45860</v>
      </c>
      <c r="G366" s="79" t="s">
        <v>117</v>
      </c>
      <c r="H366" s="23" t="str">
        <f>IFERROR(_xlfn.XLOOKUP(Table5[[#This Row],[Affected WTG]],'Basic Data'!$A:$A,'Basic Data'!$B:$B),"")</f>
        <v>PWEPL</v>
      </c>
      <c r="I366" s="23" t="str">
        <f>IFERROR(_xlfn.XLOOKUP(Table5[[#This Row],[Affected WTG]],'Basic Data'!$A:$A,'Basic Data'!$C:$C),"")</f>
        <v>MSEDCL</v>
      </c>
      <c r="J366" s="286">
        <f>IFERROR(_xlfn.XLOOKUP(Table5[[#This Row],[Affected WTG]],'Basic Data'!$A:$A,'Basic Data'!$E:$E),"")</f>
        <v>2.2727272727272728E-2</v>
      </c>
      <c r="K366" s="79">
        <v>141</v>
      </c>
      <c r="L366" s="23" t="str">
        <f>IFERROR(_xlfn.XLOOKUP(Table5[[#This Row],[Error Code]],'Basic Data'!$W:$W,'Basic Data'!$X:$X),"Incorrect Error Code")</f>
        <v>Rotor CCU collective faults</v>
      </c>
      <c r="M366" s="23" t="s">
        <v>942</v>
      </c>
      <c r="N366" s="23"/>
      <c r="O366" s="355">
        <v>0.54513888888888895</v>
      </c>
      <c r="P366" s="355">
        <v>0.54513888888888895</v>
      </c>
      <c r="Q366" s="355">
        <v>0.55138888888888882</v>
      </c>
      <c r="R366" s="341">
        <f t="shared" si="31"/>
        <v>6.2499999999998668E-3</v>
      </c>
      <c r="S366" s="353">
        <f>(Table5[[#This Row],[Fault Clearance time]]-Table5[[#This Row],[Work Start TimeStamp]])*24</f>
        <v>0.1499999999999968</v>
      </c>
      <c r="T366" s="353">
        <f>(Table5[[#This Row],[Fault Clearance time]]-Table5[[#This Row],[Fault Start TimeStamp]])*24</f>
        <v>0.1499999999999968</v>
      </c>
      <c r="U366" s="23" t="s">
        <v>353</v>
      </c>
      <c r="V366" s="79" t="s">
        <v>339</v>
      </c>
      <c r="W366" s="354">
        <f>IFERROR(Table5[[#This Row],[Breakdown Time]]*Table5[[#This Row],[Plant Equivalent Weightage]],"")</f>
        <v>3.4090909090908365E-3</v>
      </c>
      <c r="X366" s="289" t="s">
        <v>343</v>
      </c>
      <c r="Y366" s="290" t="s">
        <v>116</v>
      </c>
      <c r="Z366" s="79"/>
      <c r="AA366" s="283">
        <v>1</v>
      </c>
      <c r="AB366" s="79"/>
      <c r="AC366" s="23"/>
      <c r="AD366" s="23"/>
    </row>
    <row r="367" spans="1:30">
      <c r="A367" s="79">
        <f t="shared" si="20"/>
        <v>366</v>
      </c>
      <c r="B367" s="283">
        <f>YEAR(Table5[[#This Row],[Date]])+IF(MONTH(Table5[[#This Row],[Date]])&gt;=4,1,0)</f>
        <v>2026</v>
      </c>
      <c r="C367" s="79">
        <f>YEAR(Table5[[#This Row],[Date]])</f>
        <v>2025</v>
      </c>
      <c r="D367" s="79" t="s">
        <v>344</v>
      </c>
      <c r="E367" s="284">
        <f>Table5[[#This Row],[Date]]-DAY(Table5[[#This Row],[Date]])+1</f>
        <v>45839</v>
      </c>
      <c r="F367" s="285">
        <v>45861</v>
      </c>
      <c r="G367" s="79" t="s">
        <v>105</v>
      </c>
      <c r="H367" s="23" t="str">
        <f>IFERROR(_xlfn.XLOOKUP(Table5[[#This Row],[Affected WTG]],'Basic Data'!$A:$A,'Basic Data'!$B:$B),"")</f>
        <v>PWEPL</v>
      </c>
      <c r="I367" s="23" t="str">
        <f>IFERROR(_xlfn.XLOOKUP(Table5[[#This Row],[Affected WTG]],'Basic Data'!$A:$A,'Basic Data'!$C:$C),"")</f>
        <v>MSEDCL</v>
      </c>
      <c r="J367" s="286">
        <f>IFERROR(_xlfn.XLOOKUP(Table5[[#This Row],[Affected WTG]],'Basic Data'!$A:$A,'Basic Data'!$E:$E),"")</f>
        <v>2.2727272727272728E-2</v>
      </c>
      <c r="K367" s="79">
        <v>276</v>
      </c>
      <c r="L367" s="23" t="str">
        <f>IFERROR(_xlfn.XLOOKUP(Table5[[#This Row],[Error Code]],'Basic Data'!$W:$W,'Basic Data'!$X:$X),"Incorrect Error Code")</f>
        <v>Pitch thyristor 3 fault</v>
      </c>
      <c r="M367" s="23" t="s">
        <v>153</v>
      </c>
      <c r="N367" s="23"/>
      <c r="O367" s="355">
        <v>0.49444444444444446</v>
      </c>
      <c r="P367" s="355">
        <v>0.49444444444444446</v>
      </c>
      <c r="Q367" s="355">
        <v>0.49652777777777773</v>
      </c>
      <c r="R367" s="341">
        <f t="shared" ref="R367:R368" si="32">Q367-O367</f>
        <v>2.0833333333332704E-3</v>
      </c>
      <c r="S367" s="353">
        <f>(Table5[[#This Row],[Fault Clearance time]]-Table5[[#This Row],[Work Start TimeStamp]])*24</f>
        <v>4.999999999999849E-2</v>
      </c>
      <c r="T367" s="353">
        <f>(Table5[[#This Row],[Fault Clearance time]]-Table5[[#This Row],[Fault Start TimeStamp]])*24</f>
        <v>4.999999999999849E-2</v>
      </c>
      <c r="U367" s="23" t="s">
        <v>353</v>
      </c>
      <c r="V367" s="79" t="s">
        <v>339</v>
      </c>
      <c r="W367" s="354">
        <f>IFERROR(Table5[[#This Row],[Breakdown Time]]*Table5[[#This Row],[Plant Equivalent Weightage]],"")</f>
        <v>1.136363636363602E-3</v>
      </c>
      <c r="X367" s="289" t="s">
        <v>343</v>
      </c>
      <c r="Y367" s="290" t="s">
        <v>103</v>
      </c>
      <c r="Z367" s="79"/>
      <c r="AA367" s="283">
        <v>191</v>
      </c>
      <c r="AB367" s="79"/>
      <c r="AC367" s="23"/>
      <c r="AD367" s="23"/>
    </row>
    <row r="368" spans="1:30">
      <c r="A368" s="79">
        <f t="shared" si="20"/>
        <v>367</v>
      </c>
      <c r="B368" s="283">
        <f>YEAR(Table5[[#This Row],[Date]])+IF(MONTH(Table5[[#This Row],[Date]])&gt;=4,1,0)</f>
        <v>2026</v>
      </c>
      <c r="C368" s="79">
        <f>YEAR(Table5[[#This Row],[Date]])</f>
        <v>2025</v>
      </c>
      <c r="D368" s="79" t="s">
        <v>344</v>
      </c>
      <c r="E368" s="284">
        <f>Table5[[#This Row],[Date]]-DAY(Table5[[#This Row],[Date]])+1</f>
        <v>45839</v>
      </c>
      <c r="F368" s="285">
        <v>45861</v>
      </c>
      <c r="G368" s="79" t="s">
        <v>109</v>
      </c>
      <c r="H368" s="23" t="str">
        <f>IFERROR(_xlfn.XLOOKUP(Table5[[#This Row],[Affected WTG]],'Basic Data'!$A:$A,'Basic Data'!$B:$B),"")</f>
        <v>PWEPL</v>
      </c>
      <c r="I368" s="23" t="str">
        <f>IFERROR(_xlfn.XLOOKUP(Table5[[#This Row],[Affected WTG]],'Basic Data'!$A:$A,'Basic Data'!$C:$C),"")</f>
        <v>MSEDCL</v>
      </c>
      <c r="J368" s="286">
        <f>IFERROR(_xlfn.XLOOKUP(Table5[[#This Row],[Affected WTG]],'Basic Data'!$A:$A,'Basic Data'!$E:$E),"")</f>
        <v>2.2727272727272728E-2</v>
      </c>
      <c r="K368" s="79">
        <v>275</v>
      </c>
      <c r="L368" s="23" t="str">
        <f>IFERROR(_xlfn.XLOOKUP(Table5[[#This Row],[Error Code]],'Basic Data'!$W:$W,'Basic Data'!$X:$X),"Incorrect Error Code")</f>
        <v>Pitch thyristor 2 fault</v>
      </c>
      <c r="M368" s="23" t="s">
        <v>162</v>
      </c>
      <c r="N368" s="23"/>
      <c r="O368" s="355">
        <v>0.71527777777777779</v>
      </c>
      <c r="P368" s="355">
        <v>0.71527777777777779</v>
      </c>
      <c r="Q368" s="355">
        <v>0.71944444444444444</v>
      </c>
      <c r="R368" s="341">
        <f t="shared" si="32"/>
        <v>4.1666666666666519E-3</v>
      </c>
      <c r="S368" s="353">
        <f>(Table5[[#This Row],[Fault Clearance time]]-Table5[[#This Row],[Work Start TimeStamp]])*24</f>
        <v>9.9999999999999645E-2</v>
      </c>
      <c r="T368" s="353">
        <f>(Table5[[#This Row],[Fault Clearance time]]-Table5[[#This Row],[Fault Start TimeStamp]])*24</f>
        <v>9.9999999999999645E-2</v>
      </c>
      <c r="U368" s="23" t="s">
        <v>353</v>
      </c>
      <c r="V368" s="79" t="s">
        <v>339</v>
      </c>
      <c r="W368" s="354">
        <f>IFERROR(Table5[[#This Row],[Breakdown Time]]*Table5[[#This Row],[Plant Equivalent Weightage]],"")</f>
        <v>2.2727272727272648E-3</v>
      </c>
      <c r="X368" s="289" t="s">
        <v>343</v>
      </c>
      <c r="Y368" s="290" t="s">
        <v>114</v>
      </c>
      <c r="Z368" s="79"/>
      <c r="AA368" s="283">
        <v>111</v>
      </c>
      <c r="AB368" s="79"/>
      <c r="AC368" s="23"/>
      <c r="AD368" s="23"/>
    </row>
    <row r="369" spans="1:30">
      <c r="A369" s="79">
        <f t="shared" si="20"/>
        <v>368</v>
      </c>
      <c r="B369" s="283">
        <f>YEAR(Table5[[#This Row],[Date]])+IF(MONTH(Table5[[#This Row],[Date]])&gt;=4,1,0)</f>
        <v>2026</v>
      </c>
      <c r="C369" s="79">
        <f>YEAR(Table5[[#This Row],[Date]])</f>
        <v>2025</v>
      </c>
      <c r="D369" s="79" t="s">
        <v>344</v>
      </c>
      <c r="E369" s="284">
        <f>Table5[[#This Row],[Date]]-DAY(Table5[[#This Row],[Date]])+1</f>
        <v>45839</v>
      </c>
      <c r="F369" s="285">
        <v>45862</v>
      </c>
      <c r="G369" s="79" t="s">
        <v>98</v>
      </c>
      <c r="H369" s="23" t="str">
        <f>IFERROR(_xlfn.XLOOKUP(Table5[[#This Row],[Affected WTG]],'Basic Data'!$A:$A,'Basic Data'!$B:$B),"")</f>
        <v>PWEPL</v>
      </c>
      <c r="I369" s="23" t="str">
        <f>IFERROR(_xlfn.XLOOKUP(Table5[[#This Row],[Affected WTG]],'Basic Data'!$A:$A,'Basic Data'!$C:$C),"")</f>
        <v>MSEDCL</v>
      </c>
      <c r="J369" s="286">
        <f>IFERROR(_xlfn.XLOOKUP(Table5[[#This Row],[Affected WTG]],'Basic Data'!$A:$A,'Basic Data'!$E:$E),"")</f>
        <v>2.2727272727272728E-2</v>
      </c>
      <c r="K369" s="79">
        <v>207</v>
      </c>
      <c r="L369" s="23" t="str">
        <f>IFERROR(_xlfn.XLOOKUP(Table5[[#This Row],[Error Code]],'Basic Data'!$W:$W,'Basic Data'!$X:$X),"Incorrect Error Code")</f>
        <v>Ground fault LVMD</v>
      </c>
      <c r="M369" s="23" t="s">
        <v>989</v>
      </c>
      <c r="N369" s="23"/>
      <c r="O369" s="355">
        <v>0.53055555555555556</v>
      </c>
      <c r="P369" s="355">
        <v>0.53055555555555556</v>
      </c>
      <c r="Q369" s="355">
        <v>0.5625</v>
      </c>
      <c r="R369" s="341">
        <f t="shared" ref="R369:R370" si="33">Q369-O369</f>
        <v>3.1944444444444442E-2</v>
      </c>
      <c r="S369" s="353">
        <f>(Table5[[#This Row],[Fault Clearance time]]-Table5[[#This Row],[Work Start TimeStamp]])*24</f>
        <v>0.76666666666666661</v>
      </c>
      <c r="T369" s="353">
        <f>(Table5[[#This Row],[Fault Clearance time]]-Table5[[#This Row],[Fault Start TimeStamp]])*24</f>
        <v>0.76666666666666661</v>
      </c>
      <c r="U369" s="23" t="s">
        <v>991</v>
      </c>
      <c r="V369" s="79" t="s">
        <v>339</v>
      </c>
      <c r="W369" s="354">
        <f>IFERROR(Table5[[#This Row],[Breakdown Time]]*Table5[[#This Row],[Plant Equivalent Weightage]],"")</f>
        <v>1.7424242424242422E-2</v>
      </c>
      <c r="X369" s="289" t="s">
        <v>343</v>
      </c>
      <c r="Y369" s="290" t="s">
        <v>99</v>
      </c>
      <c r="Z369" s="79"/>
      <c r="AA369" s="283">
        <v>1322</v>
      </c>
      <c r="AB369" s="79"/>
      <c r="AC369" s="23"/>
      <c r="AD369" s="23"/>
    </row>
    <row r="370" spans="1:30">
      <c r="A370" s="79">
        <f t="shared" si="20"/>
        <v>369</v>
      </c>
      <c r="B370" s="283">
        <f>YEAR(Table5[[#This Row],[Date]])+IF(MONTH(Table5[[#This Row],[Date]])&gt;=4,1,0)</f>
        <v>2026</v>
      </c>
      <c r="C370" s="79">
        <f>YEAR(Table5[[#This Row],[Date]])</f>
        <v>2025</v>
      </c>
      <c r="D370" s="79" t="s">
        <v>344</v>
      </c>
      <c r="E370" s="284">
        <f>Table5[[#This Row],[Date]]-DAY(Table5[[#This Row],[Date]])+1</f>
        <v>45839</v>
      </c>
      <c r="F370" s="285">
        <v>45862</v>
      </c>
      <c r="G370" s="79" t="s">
        <v>83</v>
      </c>
      <c r="H370" s="23" t="str">
        <f>IFERROR(_xlfn.XLOOKUP(Table5[[#This Row],[Affected WTG]],'Basic Data'!$A:$A,'Basic Data'!$B:$B),"")</f>
        <v>PWEPL</v>
      </c>
      <c r="I370" s="23" t="str">
        <f>IFERROR(_xlfn.XLOOKUP(Table5[[#This Row],[Affected WTG]],'Basic Data'!$A:$A,'Basic Data'!$C:$C),"")</f>
        <v>MSEDCL</v>
      </c>
      <c r="J370" s="286">
        <f>IFERROR(_xlfn.XLOOKUP(Table5[[#This Row],[Affected WTG]],'Basic Data'!$A:$A,'Basic Data'!$E:$E),"")</f>
        <v>2.2727272727272728E-2</v>
      </c>
      <c r="K370" s="79"/>
      <c r="L370" s="23" t="s">
        <v>990</v>
      </c>
      <c r="M370" s="23" t="s">
        <v>990</v>
      </c>
      <c r="N370" s="23"/>
      <c r="O370" s="355">
        <v>0.59166666666666667</v>
      </c>
      <c r="P370" s="355">
        <v>0.59166666666666667</v>
      </c>
      <c r="Q370" s="355">
        <v>0.60138888888888886</v>
      </c>
      <c r="R370" s="341">
        <f t="shared" si="33"/>
        <v>9.7222222222221877E-3</v>
      </c>
      <c r="S370" s="353">
        <f>(Table5[[#This Row],[Fault Clearance time]]-Table5[[#This Row],[Work Start TimeStamp]])*24</f>
        <v>0.2333333333333325</v>
      </c>
      <c r="T370" s="353">
        <f>(Table5[[#This Row],[Fault Clearance time]]-Table5[[#This Row],[Fault Start TimeStamp]])*24</f>
        <v>0.2333333333333325</v>
      </c>
      <c r="U370" s="23" t="s">
        <v>992</v>
      </c>
      <c r="V370" s="79" t="s">
        <v>339</v>
      </c>
      <c r="W370" s="354">
        <f>IFERROR(Table5[[#This Row],[Breakdown Time]]*Table5[[#This Row],[Plant Equivalent Weightage]],"")</f>
        <v>5.3030303030302843E-3</v>
      </c>
      <c r="X370" s="289" t="s">
        <v>343</v>
      </c>
      <c r="Y370" s="290" t="s">
        <v>98</v>
      </c>
      <c r="Z370" s="79"/>
      <c r="AA370" s="283">
        <v>368</v>
      </c>
      <c r="AB370" s="79"/>
      <c r="AC370" s="23"/>
      <c r="AD370" s="23"/>
    </row>
    <row r="371" spans="1:30">
      <c r="A371" s="79">
        <f t="shared" si="20"/>
        <v>370</v>
      </c>
      <c r="B371" s="283">
        <f>YEAR(Table5[[#This Row],[Date]])+IF(MONTH(Table5[[#This Row],[Date]])&gt;=4,1,0)</f>
        <v>2026</v>
      </c>
      <c r="C371" s="79">
        <f>YEAR(Table5[[#This Row],[Date]])</f>
        <v>2025</v>
      </c>
      <c r="D371" s="79" t="s">
        <v>344</v>
      </c>
      <c r="E371" s="284">
        <f>Table5[[#This Row],[Date]]-DAY(Table5[[#This Row],[Date]])+1</f>
        <v>45839</v>
      </c>
      <c r="F371" s="285">
        <v>45863</v>
      </c>
      <c r="G371" s="79" t="s">
        <v>105</v>
      </c>
      <c r="H371" s="23" t="str">
        <f>IFERROR(_xlfn.XLOOKUP(Table5[[#This Row],[Affected WTG]],'Basic Data'!$A:$A,'Basic Data'!$B:$B),"")</f>
        <v>PWEPL</v>
      </c>
      <c r="I371" s="23" t="str">
        <f>IFERROR(_xlfn.XLOOKUP(Table5[[#This Row],[Affected WTG]],'Basic Data'!$A:$A,'Basic Data'!$C:$C),"")</f>
        <v>MSEDCL</v>
      </c>
      <c r="J371" s="286">
        <f>IFERROR(_xlfn.XLOOKUP(Table5[[#This Row],[Affected WTG]],'Basic Data'!$A:$A,'Basic Data'!$E:$E),"")</f>
        <v>2.2727272727272728E-2</v>
      </c>
      <c r="K371" s="79">
        <v>77</v>
      </c>
      <c r="L371" s="23" t="str">
        <f>IFERROR(_xlfn.XLOOKUP(Table5[[#This Row],[Error Code]],'Basic Data'!$W:$W,'Basic Data'!$X:$X),"Incorrect Error Code")</f>
        <v>Gearbox oil overtemperature</v>
      </c>
      <c r="M371" s="23" t="s">
        <v>943</v>
      </c>
      <c r="N371" s="23"/>
      <c r="O371" s="355">
        <v>0.29583333333333334</v>
      </c>
      <c r="P371" s="355">
        <v>0.29583333333333334</v>
      </c>
      <c r="Q371" s="355">
        <v>0.44236111111111115</v>
      </c>
      <c r="R371" s="341">
        <f t="shared" ref="R371:R382" si="34">Q371-O371</f>
        <v>0.14652777777777781</v>
      </c>
      <c r="S371" s="353">
        <f>(Table5[[#This Row],[Fault Clearance time]]-Table5[[#This Row],[Work Start TimeStamp]])*24</f>
        <v>3.5166666666666675</v>
      </c>
      <c r="T371" s="353">
        <f>(Table5[[#This Row],[Fault Clearance time]]-Table5[[#This Row],[Fault Start TimeStamp]])*24</f>
        <v>3.5166666666666675</v>
      </c>
      <c r="U371" s="23" t="s">
        <v>352</v>
      </c>
      <c r="V371" s="79" t="s">
        <v>339</v>
      </c>
      <c r="W371" s="354">
        <f>IFERROR(Table5[[#This Row],[Breakdown Time]]*Table5[[#This Row],[Plant Equivalent Weightage]],"")</f>
        <v>7.9924242424242439E-2</v>
      </c>
      <c r="X371" s="289" t="s">
        <v>343</v>
      </c>
      <c r="Y371" s="290" t="s">
        <v>103</v>
      </c>
      <c r="Z371" s="79"/>
      <c r="AA371" s="283">
        <v>4971</v>
      </c>
      <c r="AB371" s="79"/>
      <c r="AC371" s="23"/>
      <c r="AD371" s="23"/>
    </row>
    <row r="372" spans="1:30">
      <c r="A372" s="79">
        <f t="shared" si="20"/>
        <v>371</v>
      </c>
      <c r="B372" s="283">
        <f>YEAR(Table5[[#This Row],[Date]])+IF(MONTH(Table5[[#This Row],[Date]])&gt;=4,1,0)</f>
        <v>2026</v>
      </c>
      <c r="C372" s="79">
        <f>YEAR(Table5[[#This Row],[Date]])</f>
        <v>2025</v>
      </c>
      <c r="D372" s="79" t="s">
        <v>344</v>
      </c>
      <c r="E372" s="284">
        <f>Table5[[#This Row],[Date]]-DAY(Table5[[#This Row],[Date]])+1</f>
        <v>45839</v>
      </c>
      <c r="F372" s="285">
        <v>45863</v>
      </c>
      <c r="G372" s="79" t="s">
        <v>113</v>
      </c>
      <c r="H372" s="23" t="str">
        <f>IFERROR(_xlfn.XLOOKUP(Table5[[#This Row],[Affected WTG]],'Basic Data'!$A:$A,'Basic Data'!$B:$B),"")</f>
        <v>PWEPL</v>
      </c>
      <c r="I372" s="23" t="str">
        <f>IFERROR(_xlfn.XLOOKUP(Table5[[#This Row],[Affected WTG]],'Basic Data'!$A:$A,'Basic Data'!$C:$C),"")</f>
        <v>MSEDCL</v>
      </c>
      <c r="J372" s="286">
        <f>IFERROR(_xlfn.XLOOKUP(Table5[[#This Row],[Affected WTG]],'Basic Data'!$A:$A,'Basic Data'!$E:$E),"")</f>
        <v>2.2727272727272728E-2</v>
      </c>
      <c r="K372" s="79">
        <v>142</v>
      </c>
      <c r="L372" s="23" t="str">
        <f>IFERROR(_xlfn.XLOOKUP(Table5[[#This Row],[Error Code]],'Basic Data'!$W:$W,'Basic Data'!$X:$X),"Incorrect Error Code")</f>
        <v>Line CCU collective faults</v>
      </c>
      <c r="M372" s="23" t="s">
        <v>149</v>
      </c>
      <c r="N372" s="23"/>
      <c r="O372" s="355">
        <v>0.3972222222222222</v>
      </c>
      <c r="P372" s="355">
        <v>0.3972222222222222</v>
      </c>
      <c r="Q372" s="355">
        <v>0.4368055555555555</v>
      </c>
      <c r="R372" s="341">
        <f t="shared" si="34"/>
        <v>3.9583333333333304E-2</v>
      </c>
      <c r="S372" s="353">
        <f>(Table5[[#This Row],[Fault Clearance time]]-Table5[[#This Row],[Work Start TimeStamp]])*24</f>
        <v>0.94999999999999929</v>
      </c>
      <c r="T372" s="353">
        <f>(Table5[[#This Row],[Fault Clearance time]]-Table5[[#This Row],[Fault Start TimeStamp]])*24</f>
        <v>0.94999999999999929</v>
      </c>
      <c r="U372" s="23" t="s">
        <v>790</v>
      </c>
      <c r="V372" s="79" t="s">
        <v>339</v>
      </c>
      <c r="W372" s="354">
        <f>IFERROR(Table5[[#This Row],[Breakdown Time]]*Table5[[#This Row],[Plant Equivalent Weightage]],"")</f>
        <v>2.1590909090909074E-2</v>
      </c>
      <c r="X372" s="289" t="s">
        <v>343</v>
      </c>
      <c r="Y372" s="290" t="s">
        <v>114</v>
      </c>
      <c r="Z372" s="79"/>
      <c r="AA372" s="283">
        <v>390</v>
      </c>
      <c r="AB372" s="79"/>
      <c r="AC372" s="23"/>
      <c r="AD372" s="23"/>
    </row>
    <row r="373" spans="1:30">
      <c r="A373" s="79">
        <f t="shared" si="20"/>
        <v>372</v>
      </c>
      <c r="B373" s="283">
        <f>YEAR(Table5[[#This Row],[Date]])+IF(MONTH(Table5[[#This Row],[Date]])&gt;=4,1,0)</f>
        <v>2026</v>
      </c>
      <c r="C373" s="79">
        <f>YEAR(Table5[[#This Row],[Date]])</f>
        <v>2025</v>
      </c>
      <c r="D373" s="79" t="s">
        <v>344</v>
      </c>
      <c r="E373" s="284">
        <f>Table5[[#This Row],[Date]]-DAY(Table5[[#This Row],[Date]])+1</f>
        <v>45839</v>
      </c>
      <c r="F373" s="285">
        <v>45863</v>
      </c>
      <c r="G373" s="79" t="s">
        <v>109</v>
      </c>
      <c r="H373" s="23" t="str">
        <f>IFERROR(_xlfn.XLOOKUP(Table5[[#This Row],[Affected WTG]],'Basic Data'!$A:$A,'Basic Data'!$B:$B),"")</f>
        <v>PWEPL</v>
      </c>
      <c r="I373" s="23" t="str">
        <f>IFERROR(_xlfn.XLOOKUP(Table5[[#This Row],[Affected WTG]],'Basic Data'!$A:$A,'Basic Data'!$C:$C),"")</f>
        <v>MSEDCL</v>
      </c>
      <c r="J373" s="286">
        <f>IFERROR(_xlfn.XLOOKUP(Table5[[#This Row],[Affected WTG]],'Basic Data'!$A:$A,'Basic Data'!$E:$E),"")</f>
        <v>2.2727272727272728E-2</v>
      </c>
      <c r="K373" s="79">
        <v>269</v>
      </c>
      <c r="L373" s="23" t="str">
        <f>IFERROR(_xlfn.XLOOKUP(Table5[[#This Row],[Error Code]],'Basic Data'!$W:$W,'Basic Data'!$X:$X),"Incorrect Error Code")</f>
        <v>Reboot PLC</v>
      </c>
      <c r="M373" s="23" t="s">
        <v>348</v>
      </c>
      <c r="N373" s="23"/>
      <c r="O373" s="355">
        <v>0.3923611111111111</v>
      </c>
      <c r="P373" s="355">
        <v>0.3923611111111111</v>
      </c>
      <c r="Q373" s="355">
        <v>0.4152777777777778</v>
      </c>
      <c r="R373" s="341">
        <f t="shared" si="34"/>
        <v>2.2916666666666696E-2</v>
      </c>
      <c r="S373" s="353">
        <f>(Table5[[#This Row],[Fault Clearance time]]-Table5[[#This Row],[Work Start TimeStamp]])*24</f>
        <v>0.55000000000000071</v>
      </c>
      <c r="T373" s="353">
        <f>(Table5[[#This Row],[Fault Clearance time]]-Table5[[#This Row],[Fault Start TimeStamp]])*24</f>
        <v>0.55000000000000071</v>
      </c>
      <c r="U373" s="23" t="s">
        <v>353</v>
      </c>
      <c r="V373" s="79" t="s">
        <v>339</v>
      </c>
      <c r="W373" s="354">
        <f>IFERROR(Table5[[#This Row],[Breakdown Time]]*Table5[[#This Row],[Plant Equivalent Weightage]],"")</f>
        <v>1.2500000000000016E-2</v>
      </c>
      <c r="X373" s="289" t="s">
        <v>343</v>
      </c>
      <c r="Y373" s="290" t="s">
        <v>114</v>
      </c>
      <c r="Z373" s="79"/>
      <c r="AA373" s="283">
        <v>3105</v>
      </c>
      <c r="AB373" s="79"/>
      <c r="AC373" s="23"/>
      <c r="AD373" s="23"/>
    </row>
    <row r="374" spans="1:30">
      <c r="A374" s="79">
        <f t="shared" si="20"/>
        <v>373</v>
      </c>
      <c r="B374" s="283">
        <f>YEAR(Table5[[#This Row],[Date]])+IF(MONTH(Table5[[#This Row],[Date]])&gt;=4,1,0)</f>
        <v>2026</v>
      </c>
      <c r="C374" s="79">
        <f>YEAR(Table5[[#This Row],[Date]])</f>
        <v>2025</v>
      </c>
      <c r="D374" s="79" t="s">
        <v>344</v>
      </c>
      <c r="E374" s="284">
        <f>Table5[[#This Row],[Date]]-DAY(Table5[[#This Row],[Date]])+1</f>
        <v>45839</v>
      </c>
      <c r="F374" s="285">
        <v>45863</v>
      </c>
      <c r="G374" s="79" t="s">
        <v>111</v>
      </c>
      <c r="H374" s="23" t="str">
        <f>IFERROR(_xlfn.XLOOKUP(Table5[[#This Row],[Affected WTG]],'Basic Data'!$A:$A,'Basic Data'!$B:$B),"")</f>
        <v>PWEPL</v>
      </c>
      <c r="I374" s="23" t="str">
        <f>IFERROR(_xlfn.XLOOKUP(Table5[[#This Row],[Affected WTG]],'Basic Data'!$A:$A,'Basic Data'!$C:$C),"")</f>
        <v>MSEDCL</v>
      </c>
      <c r="J374" s="286">
        <f>IFERROR(_xlfn.XLOOKUP(Table5[[#This Row],[Affected WTG]],'Basic Data'!$A:$A,'Basic Data'!$E:$E),"")</f>
        <v>2.2727272727272728E-2</v>
      </c>
      <c r="K374" s="79">
        <v>269</v>
      </c>
      <c r="L374" s="23" t="str">
        <f>IFERROR(_xlfn.XLOOKUP(Table5[[#This Row],[Error Code]],'Basic Data'!$W:$W,'Basic Data'!$X:$X),"Incorrect Error Code")</f>
        <v>Reboot PLC</v>
      </c>
      <c r="M374" s="23" t="s">
        <v>348</v>
      </c>
      <c r="N374" s="23"/>
      <c r="O374" s="355">
        <v>0.3923611111111111</v>
      </c>
      <c r="P374" s="355">
        <v>0.3923611111111111</v>
      </c>
      <c r="Q374" s="355">
        <v>0.40972222222222227</v>
      </c>
      <c r="R374" s="341">
        <f t="shared" si="34"/>
        <v>1.736111111111116E-2</v>
      </c>
      <c r="S374" s="353">
        <f>(Table5[[#This Row],[Fault Clearance time]]-Table5[[#This Row],[Work Start TimeStamp]])*24</f>
        <v>0.41666666666666785</v>
      </c>
      <c r="T374" s="353">
        <f>(Table5[[#This Row],[Fault Clearance time]]-Table5[[#This Row],[Fault Start TimeStamp]])*24</f>
        <v>0.41666666666666785</v>
      </c>
      <c r="U374" s="23" t="s">
        <v>353</v>
      </c>
      <c r="V374" s="79" t="s">
        <v>339</v>
      </c>
      <c r="W374" s="354">
        <f>IFERROR(Table5[[#This Row],[Breakdown Time]]*Table5[[#This Row],[Plant Equivalent Weightage]],"")</f>
        <v>9.4696969696969977E-3</v>
      </c>
      <c r="X374" s="289" t="s">
        <v>343</v>
      </c>
      <c r="Y374" s="290" t="s">
        <v>118</v>
      </c>
      <c r="Z374" s="79"/>
      <c r="AA374" s="283">
        <v>1072</v>
      </c>
      <c r="AB374" s="79"/>
      <c r="AC374" s="23"/>
      <c r="AD374" s="23"/>
    </row>
    <row r="375" spans="1:30">
      <c r="A375" s="79">
        <f t="shared" si="20"/>
        <v>374</v>
      </c>
      <c r="B375" s="283">
        <f>YEAR(Table5[[#This Row],[Date]])+IF(MONTH(Table5[[#This Row],[Date]])&gt;=4,1,0)</f>
        <v>2026</v>
      </c>
      <c r="C375" s="79">
        <f>YEAR(Table5[[#This Row],[Date]])</f>
        <v>2025</v>
      </c>
      <c r="D375" s="79" t="s">
        <v>344</v>
      </c>
      <c r="E375" s="284">
        <f>Table5[[#This Row],[Date]]-DAY(Table5[[#This Row],[Date]])+1</f>
        <v>45839</v>
      </c>
      <c r="F375" s="285">
        <v>45863</v>
      </c>
      <c r="G375" s="79" t="s">
        <v>112</v>
      </c>
      <c r="H375" s="23" t="str">
        <f>IFERROR(_xlfn.XLOOKUP(Table5[[#This Row],[Affected WTG]],'Basic Data'!$A:$A,'Basic Data'!$B:$B),"")</f>
        <v>PWEPL</v>
      </c>
      <c r="I375" s="23" t="str">
        <f>IFERROR(_xlfn.XLOOKUP(Table5[[#This Row],[Affected WTG]],'Basic Data'!$A:$A,'Basic Data'!$C:$C),"")</f>
        <v>MSEDCL</v>
      </c>
      <c r="J375" s="286">
        <f>IFERROR(_xlfn.XLOOKUP(Table5[[#This Row],[Affected WTG]],'Basic Data'!$A:$A,'Basic Data'!$E:$E),"")</f>
        <v>2.2727272727272728E-2</v>
      </c>
      <c r="K375" s="79">
        <v>269</v>
      </c>
      <c r="L375" s="23" t="str">
        <f>IFERROR(_xlfn.XLOOKUP(Table5[[#This Row],[Error Code]],'Basic Data'!$W:$W,'Basic Data'!$X:$X),"Incorrect Error Code")</f>
        <v>Reboot PLC</v>
      </c>
      <c r="M375" s="23" t="s">
        <v>348</v>
      </c>
      <c r="N375" s="23"/>
      <c r="O375" s="355">
        <v>0.3923611111111111</v>
      </c>
      <c r="P375" s="355">
        <v>0.3923611111111111</v>
      </c>
      <c r="Q375" s="355">
        <v>0.40763888888888888</v>
      </c>
      <c r="R375" s="341">
        <f t="shared" si="34"/>
        <v>1.5277777777777779E-2</v>
      </c>
      <c r="S375" s="353">
        <f>(Table5[[#This Row],[Fault Clearance time]]-Table5[[#This Row],[Work Start TimeStamp]])*24</f>
        <v>0.3666666666666667</v>
      </c>
      <c r="T375" s="353">
        <f>(Table5[[#This Row],[Fault Clearance time]]-Table5[[#This Row],[Fault Start TimeStamp]])*24</f>
        <v>0.3666666666666667</v>
      </c>
      <c r="U375" s="23" t="s">
        <v>353</v>
      </c>
      <c r="V375" s="79" t="s">
        <v>339</v>
      </c>
      <c r="W375" s="354">
        <f>IFERROR(Table5[[#This Row],[Breakdown Time]]*Table5[[#This Row],[Plant Equivalent Weightage]],"")</f>
        <v>8.333333333333335E-3</v>
      </c>
      <c r="X375" s="289" t="s">
        <v>343</v>
      </c>
      <c r="Y375" s="290" t="s">
        <v>111</v>
      </c>
      <c r="Z375" s="79"/>
      <c r="AA375" s="283">
        <v>168</v>
      </c>
      <c r="AB375" s="79"/>
      <c r="AC375" s="23"/>
      <c r="AD375" s="23"/>
    </row>
    <row r="376" spans="1:30">
      <c r="A376" s="79">
        <f t="shared" si="20"/>
        <v>375</v>
      </c>
      <c r="B376" s="283">
        <f>YEAR(Table5[[#This Row],[Date]])+IF(MONTH(Table5[[#This Row],[Date]])&gt;=4,1,0)</f>
        <v>2026</v>
      </c>
      <c r="C376" s="79">
        <f>YEAR(Table5[[#This Row],[Date]])</f>
        <v>2025</v>
      </c>
      <c r="D376" s="79" t="s">
        <v>344</v>
      </c>
      <c r="E376" s="284">
        <f>Table5[[#This Row],[Date]]-DAY(Table5[[#This Row],[Date]])+1</f>
        <v>45839</v>
      </c>
      <c r="F376" s="285">
        <v>45863</v>
      </c>
      <c r="G376" s="79" t="s">
        <v>114</v>
      </c>
      <c r="H376" s="23" t="str">
        <f>IFERROR(_xlfn.XLOOKUP(Table5[[#This Row],[Affected WTG]],'Basic Data'!$A:$A,'Basic Data'!$B:$B),"")</f>
        <v>PWEPL</v>
      </c>
      <c r="I376" s="23" t="str">
        <f>IFERROR(_xlfn.XLOOKUP(Table5[[#This Row],[Affected WTG]],'Basic Data'!$A:$A,'Basic Data'!$C:$C),"")</f>
        <v>MSEDCL</v>
      </c>
      <c r="J376" s="286">
        <f>IFERROR(_xlfn.XLOOKUP(Table5[[#This Row],[Affected WTG]],'Basic Data'!$A:$A,'Basic Data'!$E:$E),"")</f>
        <v>2.2727272727272728E-2</v>
      </c>
      <c r="K376" s="79">
        <v>269</v>
      </c>
      <c r="L376" s="23" t="str">
        <f>IFERROR(_xlfn.XLOOKUP(Table5[[#This Row],[Error Code]],'Basic Data'!$W:$W,'Basic Data'!$X:$X),"Incorrect Error Code")</f>
        <v>Reboot PLC</v>
      </c>
      <c r="M376" s="23" t="s">
        <v>348</v>
      </c>
      <c r="N376" s="23"/>
      <c r="O376" s="355">
        <v>0.3923611111111111</v>
      </c>
      <c r="P376" s="355">
        <v>0.3923611111111111</v>
      </c>
      <c r="Q376" s="355">
        <v>0.41597222222222219</v>
      </c>
      <c r="R376" s="341">
        <f t="shared" si="34"/>
        <v>2.3611111111111083E-2</v>
      </c>
      <c r="S376" s="353">
        <f>(Table5[[#This Row],[Fault Clearance time]]-Table5[[#This Row],[Work Start TimeStamp]])*24</f>
        <v>0.56666666666666599</v>
      </c>
      <c r="T376" s="353">
        <f>(Table5[[#This Row],[Fault Clearance time]]-Table5[[#This Row],[Fault Start TimeStamp]])*24</f>
        <v>0.56666666666666599</v>
      </c>
      <c r="U376" s="23" t="s">
        <v>353</v>
      </c>
      <c r="V376" s="79" t="s">
        <v>339</v>
      </c>
      <c r="W376" s="354">
        <f>IFERROR(Table5[[#This Row],[Breakdown Time]]*Table5[[#This Row],[Plant Equivalent Weightage]],"")</f>
        <v>1.2878787878787863E-2</v>
      </c>
      <c r="X376" s="289" t="s">
        <v>343</v>
      </c>
      <c r="Y376" s="290" t="s">
        <v>113</v>
      </c>
      <c r="Z376" s="79"/>
      <c r="AA376" s="283">
        <v>3127</v>
      </c>
      <c r="AB376" s="79"/>
      <c r="AC376" s="23"/>
      <c r="AD376" s="23"/>
    </row>
    <row r="377" spans="1:30">
      <c r="A377" s="79">
        <f t="shared" si="20"/>
        <v>376</v>
      </c>
      <c r="B377" s="283">
        <f>YEAR(Table5[[#This Row],[Date]])+IF(MONTH(Table5[[#This Row],[Date]])&gt;=4,1,0)</f>
        <v>2026</v>
      </c>
      <c r="C377" s="79">
        <f>YEAR(Table5[[#This Row],[Date]])</f>
        <v>2025</v>
      </c>
      <c r="D377" s="79" t="s">
        <v>344</v>
      </c>
      <c r="E377" s="284">
        <f>Table5[[#This Row],[Date]]-DAY(Table5[[#This Row],[Date]])+1</f>
        <v>45839</v>
      </c>
      <c r="F377" s="285">
        <v>45863</v>
      </c>
      <c r="G377" s="79" t="s">
        <v>79</v>
      </c>
      <c r="H377" s="23" t="str">
        <f>IFERROR(_xlfn.XLOOKUP(Table5[[#This Row],[Affected WTG]],'Basic Data'!$A:$A,'Basic Data'!$B:$B),"")</f>
        <v>PWEPL</v>
      </c>
      <c r="I377" s="23" t="str">
        <f>IFERROR(_xlfn.XLOOKUP(Table5[[#This Row],[Affected WTG]],'Basic Data'!$A:$A,'Basic Data'!$C:$C),"")</f>
        <v>MSEDCL</v>
      </c>
      <c r="J377" s="286">
        <f>IFERROR(_xlfn.XLOOKUP(Table5[[#This Row],[Affected WTG]],'Basic Data'!$A:$A,'Basic Data'!$E:$E),"")</f>
        <v>2.2727272727272728E-2</v>
      </c>
      <c r="K377" s="79">
        <v>269</v>
      </c>
      <c r="L377" s="23" t="str">
        <f>IFERROR(_xlfn.XLOOKUP(Table5[[#This Row],[Error Code]],'Basic Data'!$W:$W,'Basic Data'!$X:$X),"Incorrect Error Code")</f>
        <v>Reboot PLC</v>
      </c>
      <c r="M377" s="23" t="s">
        <v>348</v>
      </c>
      <c r="N377" s="23"/>
      <c r="O377" s="355">
        <v>0.83263888888888893</v>
      </c>
      <c r="P377" s="355">
        <v>0.83263888888888893</v>
      </c>
      <c r="Q377" s="355">
        <v>0.94027777777777777</v>
      </c>
      <c r="R377" s="341">
        <f t="shared" si="34"/>
        <v>0.10763888888888884</v>
      </c>
      <c r="S377" s="353">
        <f>(Table5[[#This Row],[Fault Clearance time]]-Table5[[#This Row],[Work Start TimeStamp]])*24</f>
        <v>2.5833333333333321</v>
      </c>
      <c r="T377" s="353">
        <f>(Table5[[#This Row],[Fault Clearance time]]-Table5[[#This Row],[Fault Start TimeStamp]])*24</f>
        <v>2.5833333333333321</v>
      </c>
      <c r="U377" s="23" t="s">
        <v>353</v>
      </c>
      <c r="V377" s="79" t="s">
        <v>339</v>
      </c>
      <c r="W377" s="354">
        <f>IFERROR(Table5[[#This Row],[Breakdown Time]]*Table5[[#This Row],[Plant Equivalent Weightage]],"")</f>
        <v>5.8712121212121188E-2</v>
      </c>
      <c r="X377" s="289" t="s">
        <v>343</v>
      </c>
      <c r="Y377" s="290" t="s">
        <v>96</v>
      </c>
      <c r="Z377" s="79"/>
      <c r="AA377" s="283">
        <v>4712</v>
      </c>
      <c r="AB377" s="79"/>
      <c r="AC377" s="23"/>
      <c r="AD377" s="23"/>
    </row>
    <row r="378" spans="1:30">
      <c r="A378" s="79">
        <f t="shared" si="20"/>
        <v>377</v>
      </c>
      <c r="B378" s="283">
        <f>YEAR(Table5[[#This Row],[Date]])+IF(MONTH(Table5[[#This Row],[Date]])&gt;=4,1,0)</f>
        <v>2026</v>
      </c>
      <c r="C378" s="79">
        <f>YEAR(Table5[[#This Row],[Date]])</f>
        <v>2025</v>
      </c>
      <c r="D378" s="79" t="s">
        <v>344</v>
      </c>
      <c r="E378" s="284">
        <f>Table5[[#This Row],[Date]]-DAY(Table5[[#This Row],[Date]])+1</f>
        <v>45839</v>
      </c>
      <c r="F378" s="285">
        <v>45863</v>
      </c>
      <c r="G378" s="79" t="s">
        <v>96</v>
      </c>
      <c r="H378" s="23" t="str">
        <f>IFERROR(_xlfn.XLOOKUP(Table5[[#This Row],[Affected WTG]],'Basic Data'!$A:$A,'Basic Data'!$B:$B),"")</f>
        <v>PWEPL</v>
      </c>
      <c r="I378" s="23" t="str">
        <f>IFERROR(_xlfn.XLOOKUP(Table5[[#This Row],[Affected WTG]],'Basic Data'!$A:$A,'Basic Data'!$C:$C),"")</f>
        <v>MSEDCL</v>
      </c>
      <c r="J378" s="286">
        <f>IFERROR(_xlfn.XLOOKUP(Table5[[#This Row],[Affected WTG]],'Basic Data'!$A:$A,'Basic Data'!$E:$E),"")</f>
        <v>2.2727272727272728E-2</v>
      </c>
      <c r="K378" s="79">
        <v>269</v>
      </c>
      <c r="L378" s="23" t="str">
        <f>IFERROR(_xlfn.XLOOKUP(Table5[[#This Row],[Error Code]],'Basic Data'!$W:$W,'Basic Data'!$X:$X),"Incorrect Error Code")</f>
        <v>Reboot PLC</v>
      </c>
      <c r="M378" s="23" t="s">
        <v>348</v>
      </c>
      <c r="N378" s="23"/>
      <c r="O378" s="355">
        <v>0.83263888888888893</v>
      </c>
      <c r="P378" s="355">
        <v>0.83263888888888893</v>
      </c>
      <c r="Q378" s="355">
        <v>0.93958333333333333</v>
      </c>
      <c r="R378" s="341">
        <f t="shared" si="34"/>
        <v>0.1069444444444444</v>
      </c>
      <c r="S378" s="353">
        <f>(Table5[[#This Row],[Fault Clearance time]]-Table5[[#This Row],[Work Start TimeStamp]])*24</f>
        <v>2.5666666666666655</v>
      </c>
      <c r="T378" s="353">
        <f>(Table5[[#This Row],[Fault Clearance time]]-Table5[[#This Row],[Fault Start TimeStamp]])*24</f>
        <v>2.5666666666666655</v>
      </c>
      <c r="U378" s="23" t="s">
        <v>353</v>
      </c>
      <c r="V378" s="79" t="s">
        <v>339</v>
      </c>
      <c r="W378" s="354">
        <f>IFERROR(Table5[[#This Row],[Breakdown Time]]*Table5[[#This Row],[Plant Equivalent Weightage]],"")</f>
        <v>5.8333333333333307E-2</v>
      </c>
      <c r="X378" s="289" t="s">
        <v>343</v>
      </c>
      <c r="Y378" s="290" t="s">
        <v>79</v>
      </c>
      <c r="Z378" s="79"/>
      <c r="AA378" s="283">
        <v>4690</v>
      </c>
      <c r="AB378" s="79"/>
      <c r="AC378" s="23"/>
      <c r="AD378" s="23"/>
    </row>
    <row r="379" spans="1:30">
      <c r="A379" s="79">
        <f t="shared" si="20"/>
        <v>378</v>
      </c>
      <c r="B379" s="283">
        <f>YEAR(Table5[[#This Row],[Date]])+IF(MONTH(Table5[[#This Row],[Date]])&gt;=4,1,0)</f>
        <v>2026</v>
      </c>
      <c r="C379" s="79">
        <f>YEAR(Table5[[#This Row],[Date]])</f>
        <v>2025</v>
      </c>
      <c r="D379" s="79" t="s">
        <v>344</v>
      </c>
      <c r="E379" s="284">
        <f>Table5[[#This Row],[Date]]-DAY(Table5[[#This Row],[Date]])+1</f>
        <v>45839</v>
      </c>
      <c r="F379" s="285">
        <v>45863</v>
      </c>
      <c r="G379" s="79" t="s">
        <v>97</v>
      </c>
      <c r="H379" s="23" t="str">
        <f>IFERROR(_xlfn.XLOOKUP(Table5[[#This Row],[Affected WTG]],'Basic Data'!$A:$A,'Basic Data'!$B:$B),"")</f>
        <v>PWEPL</v>
      </c>
      <c r="I379" s="23" t="str">
        <f>IFERROR(_xlfn.XLOOKUP(Table5[[#This Row],[Affected WTG]],'Basic Data'!$A:$A,'Basic Data'!$C:$C),"")</f>
        <v>MSEDCL</v>
      </c>
      <c r="J379" s="286">
        <f>IFERROR(_xlfn.XLOOKUP(Table5[[#This Row],[Affected WTG]],'Basic Data'!$A:$A,'Basic Data'!$E:$E),"")</f>
        <v>2.2727272727272728E-2</v>
      </c>
      <c r="K379" s="79">
        <v>269</v>
      </c>
      <c r="L379" s="23" t="str">
        <f>IFERROR(_xlfn.XLOOKUP(Table5[[#This Row],[Error Code]],'Basic Data'!$W:$W,'Basic Data'!$X:$X),"Incorrect Error Code")</f>
        <v>Reboot PLC</v>
      </c>
      <c r="M379" s="23" t="s">
        <v>348</v>
      </c>
      <c r="N379" s="23"/>
      <c r="O379" s="355">
        <v>0.83263888888888893</v>
      </c>
      <c r="P379" s="355">
        <v>0.83263888888888893</v>
      </c>
      <c r="Q379" s="355">
        <v>0.94027777777777777</v>
      </c>
      <c r="R379" s="341">
        <f t="shared" si="34"/>
        <v>0.10763888888888884</v>
      </c>
      <c r="S379" s="353">
        <f>(Table5[[#This Row],[Fault Clearance time]]-Table5[[#This Row],[Work Start TimeStamp]])*24</f>
        <v>2.5833333333333321</v>
      </c>
      <c r="T379" s="353">
        <f>(Table5[[#This Row],[Fault Clearance time]]-Table5[[#This Row],[Fault Start TimeStamp]])*24</f>
        <v>2.5833333333333321</v>
      </c>
      <c r="U379" s="23" t="s">
        <v>353</v>
      </c>
      <c r="V379" s="79" t="s">
        <v>339</v>
      </c>
      <c r="W379" s="354">
        <f>IFERROR(Table5[[#This Row],[Breakdown Time]]*Table5[[#This Row],[Plant Equivalent Weightage]],"")</f>
        <v>5.8712121212121188E-2</v>
      </c>
      <c r="X379" s="289" t="s">
        <v>343</v>
      </c>
      <c r="Y379" s="290" t="s">
        <v>96</v>
      </c>
      <c r="Z379" s="79"/>
      <c r="AA379" s="283">
        <v>4712</v>
      </c>
      <c r="AB379" s="79"/>
      <c r="AC379" s="23"/>
      <c r="AD379" s="23"/>
    </row>
    <row r="380" spans="1:30">
      <c r="A380" s="79">
        <f t="shared" si="20"/>
        <v>379</v>
      </c>
      <c r="B380" s="283">
        <f>YEAR(Table5[[#This Row],[Date]])+IF(MONTH(Table5[[#This Row],[Date]])&gt;=4,1,0)</f>
        <v>2026</v>
      </c>
      <c r="C380" s="79">
        <f>YEAR(Table5[[#This Row],[Date]])</f>
        <v>2025</v>
      </c>
      <c r="D380" s="79" t="s">
        <v>344</v>
      </c>
      <c r="E380" s="284">
        <f>Table5[[#This Row],[Date]]-DAY(Table5[[#This Row],[Date]])+1</f>
        <v>45839</v>
      </c>
      <c r="F380" s="285">
        <v>45863</v>
      </c>
      <c r="G380" s="79" t="s">
        <v>104</v>
      </c>
      <c r="H380" s="23" t="str">
        <f>IFERROR(_xlfn.XLOOKUP(Table5[[#This Row],[Affected WTG]],'Basic Data'!$A:$A,'Basic Data'!$B:$B),"")</f>
        <v>PWEPL</v>
      </c>
      <c r="I380" s="23" t="str">
        <f>IFERROR(_xlfn.XLOOKUP(Table5[[#This Row],[Affected WTG]],'Basic Data'!$A:$A,'Basic Data'!$C:$C),"")</f>
        <v>MSEDCL</v>
      </c>
      <c r="J380" s="286">
        <f>IFERROR(_xlfn.XLOOKUP(Table5[[#This Row],[Affected WTG]],'Basic Data'!$A:$A,'Basic Data'!$E:$E),"")</f>
        <v>2.2727272727272728E-2</v>
      </c>
      <c r="K380" s="79">
        <v>269</v>
      </c>
      <c r="L380" s="23" t="str">
        <f>IFERROR(_xlfn.XLOOKUP(Table5[[#This Row],[Error Code]],'Basic Data'!$W:$W,'Basic Data'!$X:$X),"Incorrect Error Code")</f>
        <v>Reboot PLC</v>
      </c>
      <c r="M380" s="23" t="s">
        <v>348</v>
      </c>
      <c r="N380" s="23"/>
      <c r="O380" s="355">
        <v>0.83263888888888893</v>
      </c>
      <c r="P380" s="355">
        <v>0.83263888888888893</v>
      </c>
      <c r="Q380" s="355">
        <v>0.93819444444444444</v>
      </c>
      <c r="R380" s="341">
        <f t="shared" si="34"/>
        <v>0.10555555555555551</v>
      </c>
      <c r="S380" s="353">
        <f>(Table5[[#This Row],[Fault Clearance time]]-Table5[[#This Row],[Work Start TimeStamp]])*24</f>
        <v>2.5333333333333323</v>
      </c>
      <c r="T380" s="353">
        <f>(Table5[[#This Row],[Fault Clearance time]]-Table5[[#This Row],[Fault Start TimeStamp]])*24</f>
        <v>2.5333333333333323</v>
      </c>
      <c r="U380" s="23" t="s">
        <v>353</v>
      </c>
      <c r="V380" s="79" t="s">
        <v>339</v>
      </c>
      <c r="W380" s="354">
        <f>IFERROR(Table5[[#This Row],[Breakdown Time]]*Table5[[#This Row],[Plant Equivalent Weightage]],"")</f>
        <v>5.7575757575757558E-2</v>
      </c>
      <c r="X380" s="289" t="s">
        <v>343</v>
      </c>
      <c r="Y380" s="290" t="s">
        <v>79</v>
      </c>
      <c r="Z380" s="79"/>
      <c r="AA380" s="283">
        <v>4647</v>
      </c>
      <c r="AB380" s="79"/>
      <c r="AC380" s="23"/>
      <c r="AD380" s="23"/>
    </row>
    <row r="381" spans="1:30">
      <c r="A381" s="79">
        <f t="shared" si="20"/>
        <v>380</v>
      </c>
      <c r="B381" s="283">
        <f>YEAR(Table5[[#This Row],[Date]])+IF(MONTH(Table5[[#This Row],[Date]])&gt;=4,1,0)</f>
        <v>2026</v>
      </c>
      <c r="C381" s="79">
        <f>YEAR(Table5[[#This Row],[Date]])</f>
        <v>2025</v>
      </c>
      <c r="D381" s="79" t="s">
        <v>344</v>
      </c>
      <c r="E381" s="284">
        <f>Table5[[#This Row],[Date]]-DAY(Table5[[#This Row],[Date]])+1</f>
        <v>45839</v>
      </c>
      <c r="F381" s="285">
        <v>45863</v>
      </c>
      <c r="G381" s="79" t="s">
        <v>110</v>
      </c>
      <c r="H381" s="23" t="str">
        <f>IFERROR(_xlfn.XLOOKUP(Table5[[#This Row],[Affected WTG]],'Basic Data'!$A:$A,'Basic Data'!$B:$B),"")</f>
        <v>PWEPL</v>
      </c>
      <c r="I381" s="23" t="str">
        <f>IFERROR(_xlfn.XLOOKUP(Table5[[#This Row],[Affected WTG]],'Basic Data'!$A:$A,'Basic Data'!$C:$C),"")</f>
        <v>MSEDCL</v>
      </c>
      <c r="J381" s="286">
        <f>IFERROR(_xlfn.XLOOKUP(Table5[[#This Row],[Affected WTG]],'Basic Data'!$A:$A,'Basic Data'!$E:$E),"")</f>
        <v>2.2727272727272728E-2</v>
      </c>
      <c r="K381" s="79">
        <v>269</v>
      </c>
      <c r="L381" s="23" t="str">
        <f>IFERROR(_xlfn.XLOOKUP(Table5[[#This Row],[Error Code]],'Basic Data'!$W:$W,'Basic Data'!$X:$X),"Incorrect Error Code")</f>
        <v>Reboot PLC</v>
      </c>
      <c r="M381" s="23" t="s">
        <v>348</v>
      </c>
      <c r="N381" s="23"/>
      <c r="O381" s="355">
        <v>0.83263888888888893</v>
      </c>
      <c r="P381" s="355">
        <v>0.83263888888888893</v>
      </c>
      <c r="Q381" s="355">
        <v>0.95000000000000007</v>
      </c>
      <c r="R381" s="341">
        <f t="shared" si="34"/>
        <v>0.11736111111111114</v>
      </c>
      <c r="S381" s="353">
        <f>(Table5[[#This Row],[Fault Clearance time]]-Table5[[#This Row],[Work Start TimeStamp]])*24</f>
        <v>2.8166666666666673</v>
      </c>
      <c r="T381" s="353">
        <f>(Table5[[#This Row],[Fault Clearance time]]-Table5[[#This Row],[Fault Start TimeStamp]])*24</f>
        <v>2.8166666666666673</v>
      </c>
      <c r="U381" s="23" t="s">
        <v>353</v>
      </c>
      <c r="V381" s="79" t="s">
        <v>339</v>
      </c>
      <c r="W381" s="354">
        <f>IFERROR(Table5[[#This Row],[Breakdown Time]]*Table5[[#This Row],[Plant Equivalent Weightage]],"")</f>
        <v>6.4015151515151525E-2</v>
      </c>
      <c r="X381" s="289" t="s">
        <v>343</v>
      </c>
      <c r="Y381" s="290" t="s">
        <v>100</v>
      </c>
      <c r="Z381" s="79"/>
      <c r="AA381" s="283">
        <v>3828</v>
      </c>
      <c r="AB381" s="79"/>
      <c r="AC381" s="23"/>
      <c r="AD381" s="23"/>
    </row>
    <row r="382" spans="1:30">
      <c r="A382" s="79">
        <f t="shared" si="20"/>
        <v>381</v>
      </c>
      <c r="B382" s="283">
        <f>YEAR(Table5[[#This Row],[Date]])+IF(MONTH(Table5[[#This Row],[Date]])&gt;=4,1,0)</f>
        <v>2026</v>
      </c>
      <c r="C382" s="79">
        <f>YEAR(Table5[[#This Row],[Date]])</f>
        <v>2025</v>
      </c>
      <c r="D382" s="79" t="s">
        <v>344</v>
      </c>
      <c r="E382" s="284">
        <f>Table5[[#This Row],[Date]]-DAY(Table5[[#This Row],[Date]])+1</f>
        <v>45839</v>
      </c>
      <c r="F382" s="285">
        <v>45863</v>
      </c>
      <c r="G382" s="79" t="s">
        <v>117</v>
      </c>
      <c r="H382" s="23" t="str">
        <f>IFERROR(_xlfn.XLOOKUP(Table5[[#This Row],[Affected WTG]],'Basic Data'!$A:$A,'Basic Data'!$B:$B),"")</f>
        <v>PWEPL</v>
      </c>
      <c r="I382" s="23" t="str">
        <f>IFERROR(_xlfn.XLOOKUP(Table5[[#This Row],[Affected WTG]],'Basic Data'!$A:$A,'Basic Data'!$C:$C),"")</f>
        <v>MSEDCL</v>
      </c>
      <c r="J382" s="286">
        <f>IFERROR(_xlfn.XLOOKUP(Table5[[#This Row],[Affected WTG]],'Basic Data'!$A:$A,'Basic Data'!$E:$E),"")</f>
        <v>2.2727272727272728E-2</v>
      </c>
      <c r="K382" s="79">
        <v>201</v>
      </c>
      <c r="L382" s="23" t="str">
        <f>IFERROR(_xlfn.XLOOKUP(Table5[[#This Row],[Error Code]],'Basic Data'!$W:$W,'Basic Data'!$X:$X),"Incorrect Error Code")</f>
        <v xml:space="preserve"> PLC fault 24V Supply</v>
      </c>
      <c r="M382" s="23" t="s">
        <v>967</v>
      </c>
      <c r="N382" s="23"/>
      <c r="O382" s="355">
        <v>0.91666666666666663</v>
      </c>
      <c r="P382" s="355">
        <v>0.91666666666666663</v>
      </c>
      <c r="Q382" s="355">
        <v>0.9868055555555556</v>
      </c>
      <c r="R382" s="341">
        <f t="shared" si="34"/>
        <v>7.0138888888888973E-2</v>
      </c>
      <c r="S382" s="353">
        <f>(Table5[[#This Row],[Fault Clearance time]]-Table5[[#This Row],[Work Start TimeStamp]])*24</f>
        <v>1.6833333333333353</v>
      </c>
      <c r="T382" s="353">
        <f>(Table5[[#This Row],[Fault Clearance time]]-Table5[[#This Row],[Fault Start TimeStamp]])*24</f>
        <v>1.6833333333333353</v>
      </c>
      <c r="U382" s="23" t="s">
        <v>349</v>
      </c>
      <c r="V382" s="79" t="s">
        <v>339</v>
      </c>
      <c r="W382" s="354">
        <f>IFERROR(Table5[[#This Row],[Breakdown Time]]*Table5[[#This Row],[Plant Equivalent Weightage]],"")</f>
        <v>3.8257575757575803E-2</v>
      </c>
      <c r="X382" s="289" t="s">
        <v>343</v>
      </c>
      <c r="Y382" s="290" t="s">
        <v>116</v>
      </c>
      <c r="Z382" s="79"/>
      <c r="AA382" s="283">
        <v>2932</v>
      </c>
      <c r="AB382" s="79"/>
      <c r="AC382" s="23"/>
      <c r="AD382" s="23"/>
    </row>
    <row r="383" spans="1:30">
      <c r="A383" s="79">
        <f t="shared" si="20"/>
        <v>382</v>
      </c>
      <c r="B383" s="283">
        <f>YEAR(Table5[[#This Row],[Date]])+IF(MONTH(Table5[[#This Row],[Date]])&gt;=4,1,0)</f>
        <v>2026</v>
      </c>
      <c r="C383" s="79">
        <f>YEAR(Table5[[#This Row],[Date]])</f>
        <v>2025</v>
      </c>
      <c r="D383" s="79" t="s">
        <v>344</v>
      </c>
      <c r="E383" s="284">
        <f>Table5[[#This Row],[Date]]-DAY(Table5[[#This Row],[Date]])+1</f>
        <v>45839</v>
      </c>
      <c r="F383" s="285">
        <v>45864</v>
      </c>
      <c r="G383" s="79" t="s">
        <v>83</v>
      </c>
      <c r="H383" s="23" t="str">
        <f>IFERROR(_xlfn.XLOOKUP(Table5[[#This Row],[Affected WTG]],'Basic Data'!$A:$A,'Basic Data'!$B:$B),"")</f>
        <v>PWEPL</v>
      </c>
      <c r="I383" s="23" t="str">
        <f>IFERROR(_xlfn.XLOOKUP(Table5[[#This Row],[Affected WTG]],'Basic Data'!$A:$A,'Basic Data'!$C:$C),"")</f>
        <v>MSEDCL</v>
      </c>
      <c r="J383" s="286">
        <f>IFERROR(_xlfn.XLOOKUP(Table5[[#This Row],[Affected WTG]],'Basic Data'!$A:$A,'Basic Data'!$E:$E),"")</f>
        <v>2.2727272727272728E-2</v>
      </c>
      <c r="K383" s="79">
        <v>142</v>
      </c>
      <c r="L383" s="23" t="str">
        <f>IFERROR(_xlfn.XLOOKUP(Table5[[#This Row],[Error Code]],'Basic Data'!$W:$W,'Basic Data'!$X:$X),"Incorrect Error Code")</f>
        <v>Line CCU collective faults</v>
      </c>
      <c r="M383" s="23" t="s">
        <v>149</v>
      </c>
      <c r="N383" s="23"/>
      <c r="O383" s="355">
        <v>1.6666666666666666E-2</v>
      </c>
      <c r="P383" s="355">
        <v>1.6666666666666666E-2</v>
      </c>
      <c r="Q383" s="355">
        <v>2.4999999999999998E-2</v>
      </c>
      <c r="R383" s="341">
        <f t="shared" ref="R383:R392" si="35">Q383-O383</f>
        <v>8.3333333333333315E-3</v>
      </c>
      <c r="S383" s="353">
        <f>(Table5[[#This Row],[Fault Clearance time]]-Table5[[#This Row],[Work Start TimeStamp]])*24</f>
        <v>0.19999999999999996</v>
      </c>
      <c r="T383" s="353">
        <f>(Table5[[#This Row],[Fault Clearance time]]-Table5[[#This Row],[Fault Start TimeStamp]])*24</f>
        <v>0.19999999999999996</v>
      </c>
      <c r="U383" s="23" t="s">
        <v>790</v>
      </c>
      <c r="V383" s="79" t="s">
        <v>339</v>
      </c>
      <c r="W383" s="354">
        <f>IFERROR(Table5[[#This Row],[Breakdown Time]]*Table5[[#This Row],[Plant Equivalent Weightage]],"")</f>
        <v>4.5454545454545444E-3</v>
      </c>
      <c r="X383" s="289" t="s">
        <v>343</v>
      </c>
      <c r="Y383" s="290" t="s">
        <v>98</v>
      </c>
      <c r="Z383" s="79"/>
      <c r="AA383" s="283">
        <v>529</v>
      </c>
      <c r="AB383" s="79"/>
      <c r="AC383" s="23"/>
      <c r="AD383" s="23"/>
    </row>
    <row r="384" spans="1:30">
      <c r="A384" s="79">
        <f t="shared" si="20"/>
        <v>383</v>
      </c>
      <c r="B384" s="283">
        <f>YEAR(Table5[[#This Row],[Date]])+IF(MONTH(Table5[[#This Row],[Date]])&gt;=4,1,0)</f>
        <v>2026</v>
      </c>
      <c r="C384" s="79">
        <f>YEAR(Table5[[#This Row],[Date]])</f>
        <v>2025</v>
      </c>
      <c r="D384" s="79" t="s">
        <v>344</v>
      </c>
      <c r="E384" s="284">
        <f>Table5[[#This Row],[Date]]-DAY(Table5[[#This Row],[Date]])+1</f>
        <v>45839</v>
      </c>
      <c r="F384" s="285">
        <v>45864</v>
      </c>
      <c r="G384" s="79" t="s">
        <v>83</v>
      </c>
      <c r="H384" s="23" t="str">
        <f>IFERROR(_xlfn.XLOOKUP(Table5[[#This Row],[Affected WTG]],'Basic Data'!$A:$A,'Basic Data'!$B:$B),"")</f>
        <v>PWEPL</v>
      </c>
      <c r="I384" s="23" t="str">
        <f>IFERROR(_xlfn.XLOOKUP(Table5[[#This Row],[Affected WTG]],'Basic Data'!$A:$A,'Basic Data'!$C:$C),"")</f>
        <v>MSEDCL</v>
      </c>
      <c r="J384" s="286">
        <f>IFERROR(_xlfn.XLOOKUP(Table5[[#This Row],[Affected WTG]],'Basic Data'!$A:$A,'Basic Data'!$E:$E),"")</f>
        <v>2.2727272727272728E-2</v>
      </c>
      <c r="K384" s="79">
        <v>142</v>
      </c>
      <c r="L384" s="23" t="str">
        <f>IFERROR(_xlfn.XLOOKUP(Table5[[#This Row],[Error Code]],'Basic Data'!$W:$W,'Basic Data'!$X:$X),"Incorrect Error Code")</f>
        <v>Line CCU collective faults</v>
      </c>
      <c r="M384" s="23" t="s">
        <v>149</v>
      </c>
      <c r="N384" s="23"/>
      <c r="O384" s="355">
        <v>3.1944444444444449E-2</v>
      </c>
      <c r="P384" s="355">
        <v>3.1944444444444449E-2</v>
      </c>
      <c r="Q384" s="355">
        <v>4.5138888888888888E-2</v>
      </c>
      <c r="R384" s="341">
        <f t="shared" si="35"/>
        <v>1.3194444444444439E-2</v>
      </c>
      <c r="S384" s="353">
        <f>(Table5[[#This Row],[Fault Clearance time]]-Table5[[#This Row],[Work Start TimeStamp]])*24</f>
        <v>0.31666666666666654</v>
      </c>
      <c r="T384" s="353">
        <f>(Table5[[#This Row],[Fault Clearance time]]-Table5[[#This Row],[Fault Start TimeStamp]])*24</f>
        <v>0.31666666666666654</v>
      </c>
      <c r="U384" s="23" t="s">
        <v>790</v>
      </c>
      <c r="V384" s="79" t="s">
        <v>339</v>
      </c>
      <c r="W384" s="354">
        <f>IFERROR(Table5[[#This Row],[Breakdown Time]]*Table5[[#This Row],[Plant Equivalent Weightage]],"")</f>
        <v>7.1969696969696947E-3</v>
      </c>
      <c r="X384" s="289" t="s">
        <v>343</v>
      </c>
      <c r="Y384" s="290" t="s">
        <v>98</v>
      </c>
      <c r="Z384" s="79"/>
      <c r="AA384" s="283">
        <v>250</v>
      </c>
      <c r="AB384" s="79"/>
      <c r="AC384" s="23"/>
      <c r="AD384" s="23"/>
    </row>
    <row r="385" spans="1:30">
      <c r="A385" s="79">
        <f t="shared" si="20"/>
        <v>384</v>
      </c>
      <c r="B385" s="283">
        <f>YEAR(Table5[[#This Row],[Date]])+IF(MONTH(Table5[[#This Row],[Date]])&gt;=4,1,0)</f>
        <v>2026</v>
      </c>
      <c r="C385" s="79">
        <f>YEAR(Table5[[#This Row],[Date]])</f>
        <v>2025</v>
      </c>
      <c r="D385" s="79" t="s">
        <v>344</v>
      </c>
      <c r="E385" s="284">
        <f>Table5[[#This Row],[Date]]-DAY(Table5[[#This Row],[Date]])+1</f>
        <v>45839</v>
      </c>
      <c r="F385" s="285">
        <v>45864</v>
      </c>
      <c r="G385" s="79" t="s">
        <v>79</v>
      </c>
      <c r="H385" s="23" t="str">
        <f>IFERROR(_xlfn.XLOOKUP(Table5[[#This Row],[Affected WTG]],'Basic Data'!$A:$A,'Basic Data'!$B:$B),"")</f>
        <v>PWEPL</v>
      </c>
      <c r="I385" s="23" t="str">
        <f>IFERROR(_xlfn.XLOOKUP(Table5[[#This Row],[Affected WTG]],'Basic Data'!$A:$A,'Basic Data'!$C:$C),"")</f>
        <v>MSEDCL</v>
      </c>
      <c r="J385" s="286">
        <f>IFERROR(_xlfn.XLOOKUP(Table5[[#This Row],[Affected WTG]],'Basic Data'!$A:$A,'Basic Data'!$E:$E),"")</f>
        <v>2.2727272727272728E-2</v>
      </c>
      <c r="K385" s="79">
        <v>352</v>
      </c>
      <c r="L385" s="23" t="str">
        <f>IFERROR(_xlfn.XLOOKUP(Table5[[#This Row],[Error Code]],'Basic Data'!$W:$W,'Basic Data'!$X:$X),"Incorrect Error Code")</f>
        <v>Communication fault wind measurement device</v>
      </c>
      <c r="M385" s="23" t="s">
        <v>945</v>
      </c>
      <c r="N385" s="23"/>
      <c r="O385" s="355">
        <v>0.25972222222222224</v>
      </c>
      <c r="P385" s="355">
        <v>0.25972222222222224</v>
      </c>
      <c r="Q385" s="355">
        <v>0.40277777777777773</v>
      </c>
      <c r="R385" s="341">
        <f t="shared" si="35"/>
        <v>0.14305555555555549</v>
      </c>
      <c r="S385" s="353">
        <f>(Table5[[#This Row],[Fault Clearance time]]-Table5[[#This Row],[Work Start TimeStamp]])*24</f>
        <v>3.4333333333333318</v>
      </c>
      <c r="T385" s="353">
        <f>(Table5[[#This Row],[Fault Clearance time]]-Table5[[#This Row],[Fault Start TimeStamp]])*24</f>
        <v>3.4333333333333318</v>
      </c>
      <c r="U385" s="23" t="s">
        <v>978</v>
      </c>
      <c r="V385" s="79" t="s">
        <v>339</v>
      </c>
      <c r="W385" s="354">
        <f>IFERROR(Table5[[#This Row],[Breakdown Time]]*Table5[[#This Row],[Plant Equivalent Weightage]],"")</f>
        <v>7.8030303030302992E-2</v>
      </c>
      <c r="X385" s="289" t="s">
        <v>343</v>
      </c>
      <c r="Y385" s="290" t="s">
        <v>96</v>
      </c>
      <c r="Z385" s="79"/>
      <c r="AA385" s="283">
        <v>5867</v>
      </c>
      <c r="AB385" s="79"/>
      <c r="AC385" s="23"/>
      <c r="AD385" s="23"/>
    </row>
    <row r="386" spans="1:30">
      <c r="A386" s="79">
        <f t="shared" si="20"/>
        <v>385</v>
      </c>
      <c r="B386" s="283">
        <f>YEAR(Table5[[#This Row],[Date]])+IF(MONTH(Table5[[#This Row],[Date]])&gt;=4,1,0)</f>
        <v>2026</v>
      </c>
      <c r="C386" s="79">
        <f>YEAR(Table5[[#This Row],[Date]])</f>
        <v>2025</v>
      </c>
      <c r="D386" s="79" t="s">
        <v>344</v>
      </c>
      <c r="E386" s="284">
        <f>Table5[[#This Row],[Date]]-DAY(Table5[[#This Row],[Date]])+1</f>
        <v>45839</v>
      </c>
      <c r="F386" s="285">
        <v>45864</v>
      </c>
      <c r="G386" s="79" t="s">
        <v>79</v>
      </c>
      <c r="H386" s="23" t="str">
        <f>IFERROR(_xlfn.XLOOKUP(Table5[[#This Row],[Affected WTG]],'Basic Data'!$A:$A,'Basic Data'!$B:$B),"")</f>
        <v>PWEPL</v>
      </c>
      <c r="I386" s="23" t="str">
        <f>IFERROR(_xlfn.XLOOKUP(Table5[[#This Row],[Affected WTG]],'Basic Data'!$A:$A,'Basic Data'!$C:$C),"")</f>
        <v>MSEDCL</v>
      </c>
      <c r="J386" s="286">
        <f>IFERROR(_xlfn.XLOOKUP(Table5[[#This Row],[Affected WTG]],'Basic Data'!$A:$A,'Basic Data'!$E:$E),"")</f>
        <v>2.2727272727272728E-2</v>
      </c>
      <c r="K386" s="79">
        <v>102</v>
      </c>
      <c r="L386" s="23" t="str">
        <f>IFERROR(_xlfn.XLOOKUP(Table5[[#This Row],[Error Code]],'Basic Data'!$W:$W,'Basic Data'!$X:$X),"Incorrect Error Code")</f>
        <v>DTA DIN03 control breaker status</v>
      </c>
      <c r="M386" s="23" t="s">
        <v>995</v>
      </c>
      <c r="N386" s="23"/>
      <c r="O386" s="355">
        <v>0.44791666666666669</v>
      </c>
      <c r="P386" s="355">
        <v>0.44791666666666669</v>
      </c>
      <c r="Q386" s="355">
        <v>0.51388888888888895</v>
      </c>
      <c r="R386" s="341">
        <f t="shared" si="35"/>
        <v>6.5972222222222265E-2</v>
      </c>
      <c r="S386" s="353">
        <f>(Table5[[#This Row],[Fault Clearance time]]-Table5[[#This Row],[Work Start TimeStamp]])*24</f>
        <v>1.5833333333333344</v>
      </c>
      <c r="T386" s="353">
        <f>(Table5[[#This Row],[Fault Clearance time]]-Table5[[#This Row],[Fault Start TimeStamp]])*24</f>
        <v>1.5833333333333344</v>
      </c>
      <c r="U386" s="23" t="s">
        <v>996</v>
      </c>
      <c r="V386" s="79" t="s">
        <v>339</v>
      </c>
      <c r="W386" s="354">
        <f>IFERROR(Table5[[#This Row],[Breakdown Time]]*Table5[[#This Row],[Plant Equivalent Weightage]],"")</f>
        <v>3.5984848484848508E-2</v>
      </c>
      <c r="X386" s="289" t="s">
        <v>343</v>
      </c>
      <c r="Y386" s="290" t="s">
        <v>96</v>
      </c>
      <c r="Z386" s="79"/>
      <c r="AA386" s="283">
        <v>2898</v>
      </c>
      <c r="AB386" s="79"/>
      <c r="AC386" s="23"/>
      <c r="AD386" s="23"/>
    </row>
    <row r="387" spans="1:30">
      <c r="A387" s="79">
        <f t="shared" si="20"/>
        <v>386</v>
      </c>
      <c r="B387" s="283">
        <f>YEAR(Table5[[#This Row],[Date]])+IF(MONTH(Table5[[#This Row],[Date]])&gt;=4,1,0)</f>
        <v>2026</v>
      </c>
      <c r="C387" s="79">
        <f>YEAR(Table5[[#This Row],[Date]])</f>
        <v>2025</v>
      </c>
      <c r="D387" s="79" t="s">
        <v>344</v>
      </c>
      <c r="E387" s="284">
        <f>Table5[[#This Row],[Date]]-DAY(Table5[[#This Row],[Date]])+1</f>
        <v>45839</v>
      </c>
      <c r="F387" s="285">
        <v>45864</v>
      </c>
      <c r="G387" s="79" t="s">
        <v>94</v>
      </c>
      <c r="H387" s="23" t="str">
        <f>IFERROR(_xlfn.XLOOKUP(Table5[[#This Row],[Affected WTG]],'Basic Data'!$A:$A,'Basic Data'!$B:$B),"")</f>
        <v>PWEPL</v>
      </c>
      <c r="I387" s="23" t="str">
        <f>IFERROR(_xlfn.XLOOKUP(Table5[[#This Row],[Affected WTG]],'Basic Data'!$A:$A,'Basic Data'!$C:$C),"")</f>
        <v>MSEDCL</v>
      </c>
      <c r="J387" s="286">
        <f>IFERROR(_xlfn.XLOOKUP(Table5[[#This Row],[Affected WTG]],'Basic Data'!$A:$A,'Basic Data'!$E:$E),"")</f>
        <v>2.2727272727272728E-2</v>
      </c>
      <c r="K387" s="79">
        <v>52</v>
      </c>
      <c r="L387" s="23" t="str">
        <f>IFERROR(_xlfn.XLOOKUP(Table5[[#This Row],[Error Code]],'Basic Data'!$W:$W,'Basic Data'!$X:$X),"Incorrect Error Code")</f>
        <v>Gearbox oil ressure too lo</v>
      </c>
      <c r="M387" s="23" t="s">
        <v>872</v>
      </c>
      <c r="N387" s="23"/>
      <c r="O387" s="355">
        <v>0.10833333333333334</v>
      </c>
      <c r="P387" s="355">
        <v>0.10833333333333334</v>
      </c>
      <c r="Q387" s="355">
        <v>0.44097222222222227</v>
      </c>
      <c r="R387" s="341">
        <f t="shared" si="35"/>
        <v>0.33263888888888893</v>
      </c>
      <c r="S387" s="353">
        <f>(Table5[[#This Row],[Fault Clearance time]]-Table5[[#This Row],[Work Start TimeStamp]])*24</f>
        <v>7.9833333333333343</v>
      </c>
      <c r="T387" s="353">
        <f>(Table5[[#This Row],[Fault Clearance time]]-Table5[[#This Row],[Fault Start TimeStamp]])*24</f>
        <v>7.9833333333333343</v>
      </c>
      <c r="U387" s="23" t="s">
        <v>997</v>
      </c>
      <c r="V387" s="79" t="s">
        <v>339</v>
      </c>
      <c r="W387" s="354">
        <f>IFERROR(Table5[[#This Row],[Breakdown Time]]*Table5[[#This Row],[Plant Equivalent Weightage]],"")</f>
        <v>0.18143939393939396</v>
      </c>
      <c r="X387" s="289" t="s">
        <v>343</v>
      </c>
      <c r="Y387" s="290" t="s">
        <v>95</v>
      </c>
      <c r="Z387" s="79"/>
      <c r="AA387" s="283">
        <v>12469</v>
      </c>
      <c r="AB387" s="79"/>
      <c r="AC387" s="23"/>
      <c r="AD387" s="23"/>
    </row>
    <row r="388" spans="1:30">
      <c r="A388" s="79">
        <f t="shared" si="20"/>
        <v>387</v>
      </c>
      <c r="B388" s="283">
        <f>YEAR(Table5[[#This Row],[Date]])+IF(MONTH(Table5[[#This Row],[Date]])&gt;=4,1,0)</f>
        <v>2026</v>
      </c>
      <c r="C388" s="79">
        <f>YEAR(Table5[[#This Row],[Date]])</f>
        <v>2025</v>
      </c>
      <c r="D388" s="79" t="s">
        <v>344</v>
      </c>
      <c r="E388" s="284">
        <f>Table5[[#This Row],[Date]]-DAY(Table5[[#This Row],[Date]])+1</f>
        <v>45839</v>
      </c>
      <c r="F388" s="285">
        <v>45864</v>
      </c>
      <c r="G388" s="79" t="s">
        <v>88</v>
      </c>
      <c r="H388" s="23" t="str">
        <f>IFERROR(_xlfn.XLOOKUP(Table5[[#This Row],[Affected WTG]],'Basic Data'!$A:$A,'Basic Data'!$B:$B),"")</f>
        <v>PWEPL</v>
      </c>
      <c r="I388" s="23" t="str">
        <f>IFERROR(_xlfn.XLOOKUP(Table5[[#This Row],[Affected WTG]],'Basic Data'!$A:$A,'Basic Data'!$C:$C),"")</f>
        <v>MSEDCL</v>
      </c>
      <c r="J388" s="286">
        <f>IFERROR(_xlfn.XLOOKUP(Table5[[#This Row],[Affected WTG]],'Basic Data'!$A:$A,'Basic Data'!$E:$E),"")</f>
        <v>2.2727272727272728E-2</v>
      </c>
      <c r="K388" s="79">
        <v>54</v>
      </c>
      <c r="L388" s="23" t="str">
        <f>IFERROR(_xlfn.XLOOKUP(Table5[[#This Row],[Error Code]],'Basic Data'!$W:$W,'Basic Data'!$X:$X),"Incorrect Error Code")</f>
        <v>Anemometer defec</v>
      </c>
      <c r="M388" s="23" t="s">
        <v>998</v>
      </c>
      <c r="N388" s="23"/>
      <c r="O388" s="355">
        <v>0.16041666666666668</v>
      </c>
      <c r="P388" s="355">
        <v>0.16041666666666668</v>
      </c>
      <c r="Q388" s="355">
        <v>0.20625000000000002</v>
      </c>
      <c r="R388" s="341">
        <f t="shared" si="35"/>
        <v>4.5833333333333337E-2</v>
      </c>
      <c r="S388" s="353">
        <f>(Table5[[#This Row],[Fault Clearance time]]-Table5[[#This Row],[Work Start TimeStamp]])*24</f>
        <v>1.1000000000000001</v>
      </c>
      <c r="T388" s="353">
        <f>(Table5[[#This Row],[Fault Clearance time]]-Table5[[#This Row],[Fault Start TimeStamp]])*24</f>
        <v>1.1000000000000001</v>
      </c>
      <c r="U388" s="23" t="s">
        <v>353</v>
      </c>
      <c r="V388" s="79" t="s">
        <v>339</v>
      </c>
      <c r="W388" s="354">
        <f>IFERROR(Table5[[#This Row],[Breakdown Time]]*Table5[[#This Row],[Plant Equivalent Weightage]],"")</f>
        <v>2.5000000000000001E-2</v>
      </c>
      <c r="X388" s="289" t="s">
        <v>343</v>
      </c>
      <c r="Y388" s="290" t="s">
        <v>87</v>
      </c>
      <c r="Z388" s="79"/>
      <c r="AA388" s="283">
        <v>2160</v>
      </c>
      <c r="AB388" s="79"/>
      <c r="AC388" s="23"/>
      <c r="AD388" s="23"/>
    </row>
    <row r="389" spans="1:30">
      <c r="A389" s="79">
        <f t="shared" ref="A389:A401" si="36">A388+1</f>
        <v>388</v>
      </c>
      <c r="B389" s="283">
        <f>YEAR(Table5[[#This Row],[Date]])+IF(MONTH(Table5[[#This Row],[Date]])&gt;=4,1,0)</f>
        <v>2026</v>
      </c>
      <c r="C389" s="79">
        <f>YEAR(Table5[[#This Row],[Date]])</f>
        <v>2025</v>
      </c>
      <c r="D389" s="79" t="s">
        <v>344</v>
      </c>
      <c r="E389" s="284">
        <f>Table5[[#This Row],[Date]]-DAY(Table5[[#This Row],[Date]])+1</f>
        <v>45839</v>
      </c>
      <c r="F389" s="285">
        <v>45864</v>
      </c>
      <c r="G389" s="79" t="s">
        <v>78</v>
      </c>
      <c r="H389" s="23" t="str">
        <f>IFERROR(_xlfn.XLOOKUP(Table5[[#This Row],[Affected WTG]],'Basic Data'!$A:$A,'Basic Data'!$B:$B),"")</f>
        <v>PWEPL</v>
      </c>
      <c r="I389" s="23" t="str">
        <f>IFERROR(_xlfn.XLOOKUP(Table5[[#This Row],[Affected WTG]],'Basic Data'!$A:$A,'Basic Data'!$C:$C),"")</f>
        <v>MSEDCL</v>
      </c>
      <c r="J389" s="286">
        <f>IFERROR(_xlfn.XLOOKUP(Table5[[#This Row],[Affected WTG]],'Basic Data'!$A:$A,'Basic Data'!$E:$E),"")</f>
        <v>2.2727272727272728E-2</v>
      </c>
      <c r="K389" s="79">
        <v>276</v>
      </c>
      <c r="L389" s="23" t="str">
        <f>IFERROR(_xlfn.XLOOKUP(Table5[[#This Row],[Error Code]],'Basic Data'!$W:$W,'Basic Data'!$X:$X),"Incorrect Error Code")</f>
        <v>Pitch thyristor 3 fault</v>
      </c>
      <c r="M389" s="23" t="s">
        <v>153</v>
      </c>
      <c r="N389" s="23"/>
      <c r="O389" s="355">
        <v>0.68194444444444446</v>
      </c>
      <c r="P389" s="355">
        <v>0.68194444444444446</v>
      </c>
      <c r="Q389" s="355">
        <v>0.75277777777777777</v>
      </c>
      <c r="R389" s="341">
        <f t="shared" si="35"/>
        <v>7.0833333333333304E-2</v>
      </c>
      <c r="S389" s="353">
        <f>(Table5[[#This Row],[Fault Clearance time]]-Table5[[#This Row],[Work Start TimeStamp]])*24</f>
        <v>1.6999999999999993</v>
      </c>
      <c r="T389" s="353">
        <f>(Table5[[#This Row],[Fault Clearance time]]-Table5[[#This Row],[Fault Start TimeStamp]])*24</f>
        <v>1.6999999999999993</v>
      </c>
      <c r="U389" s="23" t="s">
        <v>999</v>
      </c>
      <c r="V389" s="79" t="s">
        <v>339</v>
      </c>
      <c r="W389" s="354">
        <f>IFERROR(Table5[[#This Row],[Breakdown Time]]*Table5[[#This Row],[Plant Equivalent Weightage]],"")</f>
        <v>3.8636363636363621E-2</v>
      </c>
      <c r="X389" s="289" t="s">
        <v>343</v>
      </c>
      <c r="Y389" s="290" t="s">
        <v>77</v>
      </c>
      <c r="Z389" s="79"/>
      <c r="AA389" s="283">
        <v>2918</v>
      </c>
      <c r="AB389" s="79"/>
      <c r="AC389" s="23"/>
      <c r="AD389" s="23"/>
    </row>
    <row r="390" spans="1:30">
      <c r="A390" s="79">
        <f t="shared" si="36"/>
        <v>389</v>
      </c>
      <c r="B390" s="283">
        <f>YEAR(Table5[[#This Row],[Date]])+IF(MONTH(Table5[[#This Row],[Date]])&gt;=4,1,0)</f>
        <v>2026</v>
      </c>
      <c r="C390" s="79">
        <f>YEAR(Table5[[#This Row],[Date]])</f>
        <v>2025</v>
      </c>
      <c r="D390" s="79" t="s">
        <v>344</v>
      </c>
      <c r="E390" s="284">
        <f>Table5[[#This Row],[Date]]-DAY(Table5[[#This Row],[Date]])+1</f>
        <v>45839</v>
      </c>
      <c r="F390" s="285">
        <v>45864</v>
      </c>
      <c r="G390" s="79" t="s">
        <v>82</v>
      </c>
      <c r="H390" s="23" t="str">
        <f>IFERROR(_xlfn.XLOOKUP(Table5[[#This Row],[Affected WTG]],'Basic Data'!$A:$A,'Basic Data'!$B:$B),"")</f>
        <v>PWEPL</v>
      </c>
      <c r="I390" s="23" t="str">
        <f>IFERROR(_xlfn.XLOOKUP(Table5[[#This Row],[Affected WTG]],'Basic Data'!$A:$A,'Basic Data'!$C:$C),"")</f>
        <v>MSEDCL</v>
      </c>
      <c r="J390" s="286">
        <f>IFERROR(_xlfn.XLOOKUP(Table5[[#This Row],[Affected WTG]],'Basic Data'!$A:$A,'Basic Data'!$E:$E),"")</f>
        <v>2.2727272727272728E-2</v>
      </c>
      <c r="K390" s="79"/>
      <c r="L390" s="23" t="s">
        <v>1000</v>
      </c>
      <c r="M390" s="23" t="s">
        <v>1000</v>
      </c>
      <c r="N390" s="23"/>
      <c r="O390" s="355">
        <v>0.62708333333333333</v>
      </c>
      <c r="P390" s="355">
        <v>0.62708333333333333</v>
      </c>
      <c r="Q390" s="355">
        <v>0.88124999999999998</v>
      </c>
      <c r="R390" s="341">
        <f t="shared" si="35"/>
        <v>0.25416666666666665</v>
      </c>
      <c r="S390" s="353">
        <f>(Table5[[#This Row],[Fault Clearance time]]-Table5[[#This Row],[Work Start TimeStamp]])*24</f>
        <v>6.1</v>
      </c>
      <c r="T390" s="353">
        <f>(Table5[[#This Row],[Fault Clearance time]]-Table5[[#This Row],[Fault Start TimeStamp]])*24</f>
        <v>6.1</v>
      </c>
      <c r="U390" s="23" t="s">
        <v>1001</v>
      </c>
      <c r="V390" s="79" t="s">
        <v>339</v>
      </c>
      <c r="W390" s="354">
        <f>IFERROR(Table5[[#This Row],[Breakdown Time]]*Table5[[#This Row],[Plant Equivalent Weightage]],"")</f>
        <v>0.13863636363636364</v>
      </c>
      <c r="X390" s="289" t="s">
        <v>343</v>
      </c>
      <c r="Y390" s="290" t="s">
        <v>93</v>
      </c>
      <c r="Z390" s="79"/>
      <c r="AA390" s="283">
        <v>10176</v>
      </c>
      <c r="AB390" s="79"/>
      <c r="AC390" s="23"/>
      <c r="AD390" s="23"/>
    </row>
    <row r="391" spans="1:30">
      <c r="A391" s="79">
        <f t="shared" si="36"/>
        <v>390</v>
      </c>
      <c r="B391" s="283">
        <f>YEAR(Table5[[#This Row],[Date]])+IF(MONTH(Table5[[#This Row],[Date]])&gt;=4,1,0)</f>
        <v>2026</v>
      </c>
      <c r="C391" s="79">
        <f>YEAR(Table5[[#This Row],[Date]])</f>
        <v>2025</v>
      </c>
      <c r="D391" s="79" t="s">
        <v>344</v>
      </c>
      <c r="E391" s="284">
        <f>Table5[[#This Row],[Date]]-DAY(Table5[[#This Row],[Date]])+1</f>
        <v>45839</v>
      </c>
      <c r="F391" s="285">
        <v>45864</v>
      </c>
      <c r="G391" s="79" t="s">
        <v>81</v>
      </c>
      <c r="H391" s="23" t="str">
        <f>IFERROR(_xlfn.XLOOKUP(Table5[[#This Row],[Affected WTG]],'Basic Data'!$A:$A,'Basic Data'!$B:$B),"")</f>
        <v>PWEPL</v>
      </c>
      <c r="I391" s="23" t="str">
        <f>IFERROR(_xlfn.XLOOKUP(Table5[[#This Row],[Affected WTG]],'Basic Data'!$A:$A,'Basic Data'!$C:$C),"")</f>
        <v>MSEDCL</v>
      </c>
      <c r="J391" s="286">
        <f>IFERROR(_xlfn.XLOOKUP(Table5[[#This Row],[Affected WTG]],'Basic Data'!$A:$A,'Basic Data'!$E:$E),"")</f>
        <v>2.2727272727272728E-2</v>
      </c>
      <c r="K391" s="79">
        <v>269</v>
      </c>
      <c r="L391" s="23" t="str">
        <f>IFERROR(_xlfn.XLOOKUP(Table5[[#This Row],[Error Code]],'Basic Data'!$W:$W,'Basic Data'!$X:$X),"Incorrect Error Code")</f>
        <v>Reboot PLC</v>
      </c>
      <c r="M391" s="23" t="s">
        <v>975</v>
      </c>
      <c r="N391" s="23"/>
      <c r="O391" s="355">
        <v>0.70000000000000007</v>
      </c>
      <c r="P391" s="355">
        <v>0.70000000000000007</v>
      </c>
      <c r="Q391" s="355">
        <v>0.99930555555555556</v>
      </c>
      <c r="R391" s="341">
        <f t="shared" si="35"/>
        <v>0.29930555555555549</v>
      </c>
      <c r="S391" s="353">
        <f>(Table5[[#This Row],[Fault Clearance time]]-Table5[[#This Row],[Work Start TimeStamp]])*24</f>
        <v>7.1833333333333318</v>
      </c>
      <c r="T391" s="353">
        <f>(Table5[[#This Row],[Fault Clearance time]]-Table5[[#This Row],[Fault Start TimeStamp]])*24</f>
        <v>7.1833333333333318</v>
      </c>
      <c r="U391" s="23" t="s">
        <v>456</v>
      </c>
      <c r="V391" s="79" t="s">
        <v>339</v>
      </c>
      <c r="W391" s="354">
        <f>IFERROR(Table5[[#This Row],[Breakdown Time]]*Table5[[#This Row],[Plant Equivalent Weightage]],"")</f>
        <v>0.16325757575757574</v>
      </c>
      <c r="X391" s="289" t="s">
        <v>343</v>
      </c>
      <c r="Y391" s="290" t="s">
        <v>108</v>
      </c>
      <c r="Z391" s="79"/>
      <c r="AA391" s="283">
        <v>11771</v>
      </c>
      <c r="AB391" s="79"/>
      <c r="AC391" s="23"/>
      <c r="AD391" s="23"/>
    </row>
    <row r="392" spans="1:30">
      <c r="A392" s="79">
        <f t="shared" si="36"/>
        <v>391</v>
      </c>
      <c r="B392" s="283">
        <f>YEAR(Table5[[#This Row],[Date]])+IF(MONTH(Table5[[#This Row],[Date]])&gt;=4,1,0)</f>
        <v>2026</v>
      </c>
      <c r="C392" s="79">
        <f>YEAR(Table5[[#This Row],[Date]])</f>
        <v>2025</v>
      </c>
      <c r="D392" s="79" t="s">
        <v>344</v>
      </c>
      <c r="E392" s="284">
        <f>Table5[[#This Row],[Date]]-DAY(Table5[[#This Row],[Date]])+1</f>
        <v>45839</v>
      </c>
      <c r="F392" s="285">
        <v>45864</v>
      </c>
      <c r="G392" s="79" t="s">
        <v>79</v>
      </c>
      <c r="H392" s="23" t="str">
        <f>IFERROR(_xlfn.XLOOKUP(Table5[[#This Row],[Affected WTG]],'Basic Data'!$A:$A,'Basic Data'!$B:$B),"")</f>
        <v>PWEPL</v>
      </c>
      <c r="I392" s="23" t="str">
        <f>IFERROR(_xlfn.XLOOKUP(Table5[[#This Row],[Affected WTG]],'Basic Data'!$A:$A,'Basic Data'!$C:$C),"")</f>
        <v>MSEDCL</v>
      </c>
      <c r="J392" s="286">
        <f>IFERROR(_xlfn.XLOOKUP(Table5[[#This Row],[Affected WTG]],'Basic Data'!$A:$A,'Basic Data'!$E:$E),"")</f>
        <v>2.2727272727272728E-2</v>
      </c>
      <c r="K392" s="79">
        <v>352</v>
      </c>
      <c r="L392" s="23" t="str">
        <f>IFERROR(_xlfn.XLOOKUP(Table5[[#This Row],[Error Code]],'Basic Data'!$W:$W,'Basic Data'!$X:$X),"Incorrect Error Code")</f>
        <v>Communication fault wind measurement device</v>
      </c>
      <c r="M392" s="23" t="s">
        <v>945</v>
      </c>
      <c r="N392" s="23"/>
      <c r="O392" s="355">
        <v>0.83611111111111114</v>
      </c>
      <c r="P392" s="355">
        <v>0.83611111111111114</v>
      </c>
      <c r="Q392" s="355">
        <v>0.99930555555555556</v>
      </c>
      <c r="R392" s="341">
        <f t="shared" si="35"/>
        <v>0.16319444444444442</v>
      </c>
      <c r="S392" s="353">
        <f>(Table5[[#This Row],[Fault Clearance time]]-Table5[[#This Row],[Work Start TimeStamp]])*24</f>
        <v>3.9166666666666661</v>
      </c>
      <c r="T392" s="353">
        <f>(Table5[[#This Row],[Fault Clearance time]]-Table5[[#This Row],[Fault Start TimeStamp]])*24</f>
        <v>3.9166666666666661</v>
      </c>
      <c r="U392" s="23" t="s">
        <v>456</v>
      </c>
      <c r="V392" s="79" t="s">
        <v>339</v>
      </c>
      <c r="W392" s="354">
        <f>IFERROR(Table5[[#This Row],[Breakdown Time]]*Table5[[#This Row],[Plant Equivalent Weightage]],"")</f>
        <v>8.9015151515151505E-2</v>
      </c>
      <c r="X392" s="289" t="s">
        <v>343</v>
      </c>
      <c r="Y392" s="290" t="s">
        <v>96</v>
      </c>
      <c r="Z392" s="79"/>
      <c r="AA392" s="283">
        <v>6665</v>
      </c>
      <c r="AB392" s="79"/>
      <c r="AC392" s="23"/>
      <c r="AD392" s="23"/>
    </row>
    <row r="393" spans="1:30">
      <c r="A393" s="79">
        <f t="shared" si="36"/>
        <v>392</v>
      </c>
      <c r="B393" s="283">
        <f>YEAR(Table5[[#This Row],[Date]])+IF(MONTH(Table5[[#This Row],[Date]])&gt;=4,1,0)</f>
        <v>2026</v>
      </c>
      <c r="C393" s="79">
        <f>YEAR(Table5[[#This Row],[Date]])</f>
        <v>2025</v>
      </c>
      <c r="D393" s="79" t="s">
        <v>344</v>
      </c>
      <c r="E393" s="284">
        <f>Table5[[#This Row],[Date]]-DAY(Table5[[#This Row],[Date]])+1</f>
        <v>45839</v>
      </c>
      <c r="F393" s="285">
        <v>45865</v>
      </c>
      <c r="G393" s="79" t="s">
        <v>79</v>
      </c>
      <c r="H393" s="23" t="str">
        <f>IFERROR(_xlfn.XLOOKUP(Table5[[#This Row],[Affected WTG]],'Basic Data'!$A:$A,'Basic Data'!$B:$B),"")</f>
        <v>PWEPL</v>
      </c>
      <c r="I393" s="23" t="str">
        <f>IFERROR(_xlfn.XLOOKUP(Table5[[#This Row],[Affected WTG]],'Basic Data'!$A:$A,'Basic Data'!$C:$C),"")</f>
        <v>MSEDCL</v>
      </c>
      <c r="J393" s="286">
        <f>IFERROR(_xlfn.XLOOKUP(Table5[[#This Row],[Affected WTG]],'Basic Data'!$A:$A,'Basic Data'!$E:$E),"")</f>
        <v>2.2727272727272728E-2</v>
      </c>
      <c r="K393" s="79">
        <v>352</v>
      </c>
      <c r="L393" s="23" t="str">
        <f>IFERROR(_xlfn.XLOOKUP(Table5[[#This Row],[Error Code]],'Basic Data'!$W:$W,'Basic Data'!$X:$X),"Incorrect Error Code")</f>
        <v>Communication fault wind measurement device</v>
      </c>
      <c r="M393" s="23" t="s">
        <v>945</v>
      </c>
      <c r="N393" s="23"/>
      <c r="O393" s="355">
        <v>0</v>
      </c>
      <c r="P393" s="355">
        <v>0</v>
      </c>
      <c r="Q393" s="355">
        <v>0.20069444444444443</v>
      </c>
      <c r="R393" s="341">
        <f t="shared" ref="R393:R397" si="37">Q393-O393</f>
        <v>0.20069444444444443</v>
      </c>
      <c r="S393" s="353">
        <f>(Table5[[#This Row],[Fault Clearance time]]-Table5[[#This Row],[Work Start TimeStamp]])*24</f>
        <v>4.8166666666666664</v>
      </c>
      <c r="T393" s="353">
        <f>(Table5[[#This Row],[Fault Clearance time]]-Table5[[#This Row],[Fault Start TimeStamp]])*24</f>
        <v>4.8166666666666664</v>
      </c>
      <c r="U393" s="23" t="s">
        <v>1004</v>
      </c>
      <c r="V393" s="79" t="s">
        <v>339</v>
      </c>
      <c r="W393" s="354">
        <f>IFERROR(Table5[[#This Row],[Breakdown Time]]*Table5[[#This Row],[Plant Equivalent Weightage]],"")</f>
        <v>0.10946969696969697</v>
      </c>
      <c r="X393" s="289" t="s">
        <v>343</v>
      </c>
      <c r="Y393" s="290" t="s">
        <v>96</v>
      </c>
      <c r="Z393" s="79"/>
      <c r="AA393" s="283">
        <v>8000</v>
      </c>
      <c r="AB393" s="79"/>
      <c r="AC393" s="23"/>
      <c r="AD393" s="23"/>
    </row>
    <row r="394" spans="1:30">
      <c r="A394" s="79">
        <f t="shared" si="36"/>
        <v>393</v>
      </c>
      <c r="B394" s="283">
        <f>YEAR(Table5[[#This Row],[Date]])+IF(MONTH(Table5[[#This Row],[Date]])&gt;=4,1,0)</f>
        <v>2026</v>
      </c>
      <c r="C394" s="79">
        <f>YEAR(Table5[[#This Row],[Date]])</f>
        <v>2025</v>
      </c>
      <c r="D394" s="79" t="s">
        <v>344</v>
      </c>
      <c r="E394" s="284">
        <f>Table5[[#This Row],[Date]]-DAY(Table5[[#This Row],[Date]])+1</f>
        <v>45839</v>
      </c>
      <c r="F394" s="285">
        <v>45865</v>
      </c>
      <c r="G394" s="79" t="s">
        <v>81</v>
      </c>
      <c r="H394" s="23" t="str">
        <f>IFERROR(_xlfn.XLOOKUP(Table5[[#This Row],[Affected WTG]],'Basic Data'!$A:$A,'Basic Data'!$B:$B),"")</f>
        <v>PWEPL</v>
      </c>
      <c r="I394" s="23" t="str">
        <f>IFERROR(_xlfn.XLOOKUP(Table5[[#This Row],[Affected WTG]],'Basic Data'!$A:$A,'Basic Data'!$C:$C),"")</f>
        <v>MSEDCL</v>
      </c>
      <c r="J394" s="286">
        <f>IFERROR(_xlfn.XLOOKUP(Table5[[#This Row],[Affected WTG]],'Basic Data'!$A:$A,'Basic Data'!$E:$E),"")</f>
        <v>2.2727272727272728E-2</v>
      </c>
      <c r="K394" s="79">
        <v>269</v>
      </c>
      <c r="L394" s="23" t="str">
        <f>IFERROR(_xlfn.XLOOKUP(Table5[[#This Row],[Error Code]],'Basic Data'!$W:$W,'Basic Data'!$X:$X),"Incorrect Error Code")</f>
        <v>Reboot PLC</v>
      </c>
      <c r="M394" s="23" t="s">
        <v>975</v>
      </c>
      <c r="N394" s="23"/>
      <c r="O394" s="355">
        <v>0</v>
      </c>
      <c r="P394" s="355">
        <v>0</v>
      </c>
      <c r="Q394" s="355">
        <v>0.14097222222222222</v>
      </c>
      <c r="R394" s="341">
        <f t="shared" si="37"/>
        <v>0.14097222222222222</v>
      </c>
      <c r="S394" s="353">
        <f>(Table5[[#This Row],[Fault Clearance time]]-Table5[[#This Row],[Work Start TimeStamp]])*24</f>
        <v>3.3833333333333333</v>
      </c>
      <c r="T394" s="353">
        <f>(Table5[[#This Row],[Fault Clearance time]]-Table5[[#This Row],[Fault Start TimeStamp]])*24</f>
        <v>3.3833333333333333</v>
      </c>
      <c r="U394" s="23" t="s">
        <v>1003</v>
      </c>
      <c r="V394" s="79" t="s">
        <v>339</v>
      </c>
      <c r="W394" s="354">
        <f>IFERROR(Table5[[#This Row],[Breakdown Time]]*Table5[[#This Row],[Plant Equivalent Weightage]],"")</f>
        <v>7.6893939393939389E-2</v>
      </c>
      <c r="X394" s="289" t="s">
        <v>343</v>
      </c>
      <c r="Y394" s="290" t="s">
        <v>108</v>
      </c>
      <c r="Z394" s="79"/>
      <c r="AA394" s="283">
        <v>5658</v>
      </c>
      <c r="AB394" s="79"/>
      <c r="AC394" s="23"/>
      <c r="AD394" s="23"/>
    </row>
    <row r="395" spans="1:30">
      <c r="A395" s="79">
        <f t="shared" si="36"/>
        <v>394</v>
      </c>
      <c r="B395" s="283">
        <f>YEAR(Table5[[#This Row],[Date]])+IF(MONTH(Table5[[#This Row],[Date]])&gt;=4,1,0)</f>
        <v>2026</v>
      </c>
      <c r="C395" s="79">
        <f>YEAR(Table5[[#This Row],[Date]])</f>
        <v>2025</v>
      </c>
      <c r="D395" s="79" t="s">
        <v>344</v>
      </c>
      <c r="E395" s="284">
        <f>Table5[[#This Row],[Date]]-DAY(Table5[[#This Row],[Date]])+1</f>
        <v>45839</v>
      </c>
      <c r="F395" s="285">
        <v>45865</v>
      </c>
      <c r="G395" s="79" t="s">
        <v>88</v>
      </c>
      <c r="H395" s="23" t="str">
        <f>IFERROR(_xlfn.XLOOKUP(Table5[[#This Row],[Affected WTG]],'Basic Data'!$A:$A,'Basic Data'!$B:$B),"")</f>
        <v>PWEPL</v>
      </c>
      <c r="I395" s="23" t="str">
        <f>IFERROR(_xlfn.XLOOKUP(Table5[[#This Row],[Affected WTG]],'Basic Data'!$A:$A,'Basic Data'!$C:$C),"")</f>
        <v>MSEDCL</v>
      </c>
      <c r="J395" s="286">
        <f>IFERROR(_xlfn.XLOOKUP(Table5[[#This Row],[Affected WTG]],'Basic Data'!$A:$A,'Basic Data'!$E:$E),"")</f>
        <v>2.2727272727272728E-2</v>
      </c>
      <c r="K395" s="79">
        <v>54</v>
      </c>
      <c r="L395" s="23" t="str">
        <f>IFERROR(_xlfn.XLOOKUP(Table5[[#This Row],[Error Code]],'Basic Data'!$W:$W,'Basic Data'!$X:$X),"Incorrect Error Code")</f>
        <v>Anemometer defec</v>
      </c>
      <c r="M395" s="23" t="s">
        <v>998</v>
      </c>
      <c r="N395" s="23"/>
      <c r="O395" s="355">
        <v>0.33680555555555558</v>
      </c>
      <c r="P395" s="355">
        <v>0.33680555555555558</v>
      </c>
      <c r="Q395" s="355">
        <v>0.39305555555555555</v>
      </c>
      <c r="R395" s="341">
        <f t="shared" si="37"/>
        <v>5.6249999999999967E-2</v>
      </c>
      <c r="S395" s="353">
        <f>(Table5[[#This Row],[Fault Clearance time]]-Table5[[#This Row],[Work Start TimeStamp]])*24</f>
        <v>1.3499999999999992</v>
      </c>
      <c r="T395" s="353">
        <f>(Table5[[#This Row],[Fault Clearance time]]-Table5[[#This Row],[Fault Start TimeStamp]])*24</f>
        <v>1.3499999999999992</v>
      </c>
      <c r="U395" s="23" t="s">
        <v>1005</v>
      </c>
      <c r="V395" s="79" t="s">
        <v>339</v>
      </c>
      <c r="W395" s="354">
        <f>IFERROR(Table5[[#This Row],[Breakdown Time]]*Table5[[#This Row],[Plant Equivalent Weightage]],"")</f>
        <v>3.0681818181818164E-2</v>
      </c>
      <c r="X395" s="289" t="s">
        <v>343</v>
      </c>
      <c r="Y395" s="290" t="s">
        <v>87</v>
      </c>
      <c r="Z395" s="79"/>
      <c r="AA395" s="283">
        <v>2412</v>
      </c>
      <c r="AB395" s="79"/>
      <c r="AC395" s="23"/>
      <c r="AD395" s="23"/>
    </row>
    <row r="396" spans="1:30">
      <c r="A396" s="79">
        <f t="shared" si="36"/>
        <v>395</v>
      </c>
      <c r="B396" s="283">
        <f>YEAR(Table5[[#This Row],[Date]])+IF(MONTH(Table5[[#This Row],[Date]])&gt;=4,1,0)</f>
        <v>2026</v>
      </c>
      <c r="C396" s="79">
        <f>YEAR(Table5[[#This Row],[Date]])</f>
        <v>2025</v>
      </c>
      <c r="D396" s="79" t="s">
        <v>344</v>
      </c>
      <c r="E396" s="284">
        <f>Table5[[#This Row],[Date]]-DAY(Table5[[#This Row],[Date]])+1</f>
        <v>45839</v>
      </c>
      <c r="F396" s="285">
        <v>45865</v>
      </c>
      <c r="G396" s="79" t="s">
        <v>88</v>
      </c>
      <c r="H396" s="23" t="str">
        <f>IFERROR(_xlfn.XLOOKUP(Table5[[#This Row],[Affected WTG]],'Basic Data'!$A:$A,'Basic Data'!$B:$B),"")</f>
        <v>PWEPL</v>
      </c>
      <c r="I396" s="23" t="str">
        <f>IFERROR(_xlfn.XLOOKUP(Table5[[#This Row],[Affected WTG]],'Basic Data'!$A:$A,'Basic Data'!$C:$C),"")</f>
        <v>MSEDCL</v>
      </c>
      <c r="J396" s="286">
        <f>IFERROR(_xlfn.XLOOKUP(Table5[[#This Row],[Affected WTG]],'Basic Data'!$A:$A,'Basic Data'!$E:$E),"")</f>
        <v>2.2727272727272728E-2</v>
      </c>
      <c r="K396" s="79">
        <v>54</v>
      </c>
      <c r="L396" s="23" t="str">
        <f>IFERROR(_xlfn.XLOOKUP(Table5[[#This Row],[Error Code]],'Basic Data'!$W:$W,'Basic Data'!$X:$X),"Incorrect Error Code")</f>
        <v>Anemometer defec</v>
      </c>
      <c r="M396" s="23" t="s">
        <v>998</v>
      </c>
      <c r="N396" s="23"/>
      <c r="O396" s="355">
        <v>0.72361111111111109</v>
      </c>
      <c r="P396" s="355">
        <v>0.72361111111111109</v>
      </c>
      <c r="Q396" s="355">
        <v>0.8125</v>
      </c>
      <c r="R396" s="341">
        <f t="shared" si="37"/>
        <v>8.8888888888888906E-2</v>
      </c>
      <c r="S396" s="353">
        <f>(Table5[[#This Row],[Fault Clearance time]]-Table5[[#This Row],[Work Start TimeStamp]])*24</f>
        <v>2.1333333333333337</v>
      </c>
      <c r="T396" s="353">
        <f>(Table5[[#This Row],[Fault Clearance time]]-Table5[[#This Row],[Fault Start TimeStamp]])*24</f>
        <v>2.1333333333333337</v>
      </c>
      <c r="U396" s="23" t="s">
        <v>1006</v>
      </c>
      <c r="V396" s="79" t="s">
        <v>339</v>
      </c>
      <c r="W396" s="354">
        <f>IFERROR(Table5[[#This Row],[Breakdown Time]]*Table5[[#This Row],[Plant Equivalent Weightage]],"")</f>
        <v>4.8484848484848499E-2</v>
      </c>
      <c r="X396" s="289" t="s">
        <v>343</v>
      </c>
      <c r="Y396" s="290" t="s">
        <v>87</v>
      </c>
      <c r="Z396" s="79"/>
      <c r="AA396" s="283">
        <v>3712</v>
      </c>
      <c r="AB396" s="79"/>
      <c r="AC396" s="23"/>
      <c r="AD396" s="23"/>
    </row>
    <row r="397" spans="1:30">
      <c r="A397" s="79">
        <f t="shared" si="36"/>
        <v>396</v>
      </c>
      <c r="B397" s="283">
        <f>YEAR(Table5[[#This Row],[Date]])+IF(MONTH(Table5[[#This Row],[Date]])&gt;=4,1,0)</f>
        <v>2026</v>
      </c>
      <c r="C397" s="79">
        <f>YEAR(Table5[[#This Row],[Date]])</f>
        <v>2025</v>
      </c>
      <c r="D397" s="79" t="s">
        <v>344</v>
      </c>
      <c r="E397" s="284">
        <f>Table5[[#This Row],[Date]]-DAY(Table5[[#This Row],[Date]])+1</f>
        <v>45839</v>
      </c>
      <c r="F397" s="285">
        <v>45865</v>
      </c>
      <c r="G397" s="79" t="s">
        <v>97</v>
      </c>
      <c r="H397" s="23" t="str">
        <f>IFERROR(_xlfn.XLOOKUP(Table5[[#This Row],[Affected WTG]],'Basic Data'!$A:$A,'Basic Data'!$B:$B),"")</f>
        <v>PWEPL</v>
      </c>
      <c r="I397" s="23" t="str">
        <f>IFERROR(_xlfn.XLOOKUP(Table5[[#This Row],[Affected WTG]],'Basic Data'!$A:$A,'Basic Data'!$C:$C),"")</f>
        <v>MSEDCL</v>
      </c>
      <c r="J397" s="286">
        <f>IFERROR(_xlfn.XLOOKUP(Table5[[#This Row],[Affected WTG]],'Basic Data'!$A:$A,'Basic Data'!$E:$E),"")</f>
        <v>2.2727272727272728E-2</v>
      </c>
      <c r="K397" s="79">
        <v>142</v>
      </c>
      <c r="L397" s="23" t="str">
        <f>IFERROR(_xlfn.XLOOKUP(Table5[[#This Row],[Error Code]],'Basic Data'!$W:$W,'Basic Data'!$X:$X),"Incorrect Error Code")</f>
        <v>Line CCU collective faults</v>
      </c>
      <c r="M397" s="23" t="s">
        <v>149</v>
      </c>
      <c r="N397" s="23"/>
      <c r="O397" s="355">
        <v>0.94861111111111107</v>
      </c>
      <c r="P397" s="355">
        <v>0.94861111111111107</v>
      </c>
      <c r="Q397" s="355">
        <v>0.9604166666666667</v>
      </c>
      <c r="R397" s="341">
        <f t="shared" si="37"/>
        <v>1.1805555555555625E-2</v>
      </c>
      <c r="S397" s="353">
        <f>(Table5[[#This Row],[Fault Clearance time]]-Table5[[#This Row],[Work Start TimeStamp]])*24</f>
        <v>0.28333333333333499</v>
      </c>
      <c r="T397" s="353">
        <f>(Table5[[#This Row],[Fault Clearance time]]-Table5[[#This Row],[Fault Start TimeStamp]])*24</f>
        <v>0.28333333333333499</v>
      </c>
      <c r="U397" s="23" t="s">
        <v>353</v>
      </c>
      <c r="V397" s="79" t="s">
        <v>339</v>
      </c>
      <c r="W397" s="354">
        <f>IFERROR(Table5[[#This Row],[Breakdown Time]]*Table5[[#This Row],[Plant Equivalent Weightage]],"")</f>
        <v>6.4393939393939774E-3</v>
      </c>
      <c r="X397" s="289" t="s">
        <v>343</v>
      </c>
      <c r="Y397" s="290" t="s">
        <v>96</v>
      </c>
      <c r="Z397" s="79"/>
      <c r="AA397" s="283">
        <v>535</v>
      </c>
      <c r="AB397" s="79"/>
      <c r="AC397" s="23"/>
      <c r="AD397" s="23"/>
    </row>
    <row r="398" spans="1:30">
      <c r="A398" s="79">
        <f t="shared" si="36"/>
        <v>397</v>
      </c>
      <c r="B398" s="283">
        <f>YEAR(Table5[[#This Row],[Date]])+IF(MONTH(Table5[[#This Row],[Date]])&gt;=4,1,0)</f>
        <v>2026</v>
      </c>
      <c r="C398" s="79">
        <f>YEAR(Table5[[#This Row],[Date]])</f>
        <v>2025</v>
      </c>
      <c r="D398" s="79" t="s">
        <v>344</v>
      </c>
      <c r="E398" s="284">
        <f>Table5[[#This Row],[Date]]-DAY(Table5[[#This Row],[Date]])+1</f>
        <v>45839</v>
      </c>
      <c r="F398" s="285">
        <v>45866</v>
      </c>
      <c r="G398" s="79" t="s">
        <v>97</v>
      </c>
      <c r="H398" s="23" t="str">
        <f>IFERROR(_xlfn.XLOOKUP(Table5[[#This Row],[Affected WTG]],'Basic Data'!$A:$A,'Basic Data'!$B:$B),"")</f>
        <v>PWEPL</v>
      </c>
      <c r="I398" s="23" t="str">
        <f>IFERROR(_xlfn.XLOOKUP(Table5[[#This Row],[Affected WTG]],'Basic Data'!$A:$A,'Basic Data'!$C:$C),"")</f>
        <v>MSEDCL</v>
      </c>
      <c r="J398" s="286">
        <f>IFERROR(_xlfn.XLOOKUP(Table5[[#This Row],[Affected WTG]],'Basic Data'!$A:$A,'Basic Data'!$E:$E),"")</f>
        <v>2.2727272727272728E-2</v>
      </c>
      <c r="K398" s="79">
        <v>153</v>
      </c>
      <c r="L398" s="23" t="str">
        <f>IFERROR(_xlfn.XLOOKUP(Table5[[#This Row],[Error Code]],'Basic Data'!$W:$W,'Basic Data'!$X:$X),"Incorrect Error Code")</f>
        <v>Generator brushes worn</v>
      </c>
      <c r="M398" s="23" t="s">
        <v>599</v>
      </c>
      <c r="N398" s="23"/>
      <c r="O398" s="355">
        <v>9.4444444444444442E-2</v>
      </c>
      <c r="P398" s="355">
        <v>9.4444444444444442E-2</v>
      </c>
      <c r="Q398" s="355">
        <v>0.41944444444444445</v>
      </c>
      <c r="R398" s="341">
        <f t="shared" ref="R398:R401" si="38">Q398-O398</f>
        <v>0.32500000000000001</v>
      </c>
      <c r="S398" s="353">
        <f>(Table5[[#This Row],[Fault Clearance time]]-Table5[[#This Row],[Work Start TimeStamp]])*24</f>
        <v>7.8000000000000007</v>
      </c>
      <c r="T398" s="353">
        <f>(Table5[[#This Row],[Fault Clearance time]]-Table5[[#This Row],[Fault Start TimeStamp]])*24</f>
        <v>7.8000000000000007</v>
      </c>
      <c r="U398" s="23" t="s">
        <v>1007</v>
      </c>
      <c r="V398" s="79" t="s">
        <v>339</v>
      </c>
      <c r="W398" s="354">
        <f>IFERROR(Table5[[#This Row],[Breakdown Time]]*Table5[[#This Row],[Plant Equivalent Weightage]],"")</f>
        <v>0.1772727272727273</v>
      </c>
      <c r="X398" s="289" t="s">
        <v>343</v>
      </c>
      <c r="Y398" s="290" t="s">
        <v>96</v>
      </c>
      <c r="Z398" s="79"/>
      <c r="AA398" s="283">
        <v>12469</v>
      </c>
      <c r="AB398" s="79"/>
      <c r="AC398" s="23"/>
      <c r="AD398" s="23"/>
    </row>
    <row r="399" spans="1:30">
      <c r="A399" s="79">
        <f t="shared" si="36"/>
        <v>398</v>
      </c>
      <c r="B399" s="283">
        <f>YEAR(Table5[[#This Row],[Date]])+IF(MONTH(Table5[[#This Row],[Date]])&gt;=4,1,0)</f>
        <v>2026</v>
      </c>
      <c r="C399" s="79">
        <f>YEAR(Table5[[#This Row],[Date]])</f>
        <v>2025</v>
      </c>
      <c r="D399" s="79" t="s">
        <v>344</v>
      </c>
      <c r="E399" s="284">
        <f>Table5[[#This Row],[Date]]-DAY(Table5[[#This Row],[Date]])+1</f>
        <v>45839</v>
      </c>
      <c r="F399" s="285">
        <v>45866</v>
      </c>
      <c r="G399" s="79" t="s">
        <v>94</v>
      </c>
      <c r="H399" s="23" t="str">
        <f>IFERROR(_xlfn.XLOOKUP(Table5[[#This Row],[Affected WTG]],'Basic Data'!$A:$A,'Basic Data'!$B:$B),"")</f>
        <v>PWEPL</v>
      </c>
      <c r="I399" s="23" t="str">
        <f>IFERROR(_xlfn.XLOOKUP(Table5[[#This Row],[Affected WTG]],'Basic Data'!$A:$A,'Basic Data'!$C:$C),"")</f>
        <v>MSEDCL</v>
      </c>
      <c r="J399" s="286">
        <f>IFERROR(_xlfn.XLOOKUP(Table5[[#This Row],[Affected WTG]],'Basic Data'!$A:$A,'Basic Data'!$E:$E),"")</f>
        <v>2.2727272727272728E-2</v>
      </c>
      <c r="K399" s="79">
        <v>276</v>
      </c>
      <c r="L399" s="23" t="str">
        <f>IFERROR(_xlfn.XLOOKUP(Table5[[#This Row],[Error Code]],'Basic Data'!$W:$W,'Basic Data'!$X:$X),"Incorrect Error Code")</f>
        <v>Pitch thyristor 3 fault</v>
      </c>
      <c r="M399" s="23" t="s">
        <v>153</v>
      </c>
      <c r="N399" s="23"/>
      <c r="O399" s="355">
        <v>0.49305555555555558</v>
      </c>
      <c r="P399" s="355">
        <v>0.49305555555555558</v>
      </c>
      <c r="Q399" s="355">
        <v>0.90416666666666667</v>
      </c>
      <c r="R399" s="341">
        <f t="shared" si="38"/>
        <v>0.41111111111111109</v>
      </c>
      <c r="S399" s="353">
        <f>(Table5[[#This Row],[Fault Clearance time]]-Table5[[#This Row],[Work Start TimeStamp]])*24</f>
        <v>9.8666666666666671</v>
      </c>
      <c r="T399" s="353">
        <f>(Table5[[#This Row],[Fault Clearance time]]-Table5[[#This Row],[Fault Start TimeStamp]])*24</f>
        <v>9.8666666666666671</v>
      </c>
      <c r="U399" s="23" t="s">
        <v>1008</v>
      </c>
      <c r="V399" s="79" t="s">
        <v>339</v>
      </c>
      <c r="W399" s="354">
        <f>IFERROR(Table5[[#This Row],[Breakdown Time]]*Table5[[#This Row],[Plant Equivalent Weightage]],"")</f>
        <v>0.22424242424242427</v>
      </c>
      <c r="X399" s="289" t="s">
        <v>343</v>
      </c>
      <c r="Y399" s="290" t="s">
        <v>95</v>
      </c>
      <c r="Z399" s="79"/>
      <c r="AA399" s="283">
        <v>14254</v>
      </c>
      <c r="AB399" s="79"/>
      <c r="AC399" s="23"/>
      <c r="AD399" s="23"/>
    </row>
    <row r="400" spans="1:30">
      <c r="A400" s="79">
        <f t="shared" si="36"/>
        <v>399</v>
      </c>
      <c r="B400" s="283">
        <f>YEAR(Table5[[#This Row],[Date]])+IF(MONTH(Table5[[#This Row],[Date]])&gt;=4,1,0)</f>
        <v>2026</v>
      </c>
      <c r="C400" s="79">
        <f>YEAR(Table5[[#This Row],[Date]])</f>
        <v>2025</v>
      </c>
      <c r="D400" s="79" t="s">
        <v>344</v>
      </c>
      <c r="E400" s="284">
        <f>Table5[[#This Row],[Date]]-DAY(Table5[[#This Row],[Date]])+1</f>
        <v>45839</v>
      </c>
      <c r="F400" s="285">
        <v>45866</v>
      </c>
      <c r="G400" s="79" t="s">
        <v>79</v>
      </c>
      <c r="H400" s="23" t="str">
        <f>IFERROR(_xlfn.XLOOKUP(Table5[[#This Row],[Affected WTG]],'Basic Data'!$A:$A,'Basic Data'!$B:$B),"")</f>
        <v>PWEPL</v>
      </c>
      <c r="I400" s="23" t="str">
        <f>IFERROR(_xlfn.XLOOKUP(Table5[[#This Row],[Affected WTG]],'Basic Data'!$A:$A,'Basic Data'!$C:$C),"")</f>
        <v>MSEDCL</v>
      </c>
      <c r="J400" s="286">
        <f>IFERROR(_xlfn.XLOOKUP(Table5[[#This Row],[Affected WTG]],'Basic Data'!$A:$A,'Basic Data'!$E:$E),"")</f>
        <v>2.2727272727272728E-2</v>
      </c>
      <c r="K400" s="79">
        <v>276</v>
      </c>
      <c r="L400" s="23" t="str">
        <f>IFERROR(_xlfn.XLOOKUP(Table5[[#This Row],[Error Code]],'Basic Data'!$W:$W,'Basic Data'!$X:$X),"Incorrect Error Code")</f>
        <v>Pitch thyristor 3 fault</v>
      </c>
      <c r="M400" s="23" t="s">
        <v>153</v>
      </c>
      <c r="N400" s="23"/>
      <c r="O400" s="355">
        <v>0.9784722222222223</v>
      </c>
      <c r="P400" s="355">
        <v>0.9784722222222223</v>
      </c>
      <c r="Q400" s="355">
        <v>0.99930555555555556</v>
      </c>
      <c r="R400" s="341">
        <f t="shared" si="38"/>
        <v>2.0833333333333259E-2</v>
      </c>
      <c r="S400" s="353">
        <f>(Table5[[#This Row],[Fault Clearance time]]-Table5[[#This Row],[Work Start TimeStamp]])*24</f>
        <v>0.49999999999999822</v>
      </c>
      <c r="T400" s="353">
        <f>(Table5[[#This Row],[Fault Clearance time]]-Table5[[#This Row],[Fault Start TimeStamp]])*24</f>
        <v>0.49999999999999822</v>
      </c>
      <c r="U400" s="23" t="s">
        <v>456</v>
      </c>
      <c r="V400" s="79" t="s">
        <v>339</v>
      </c>
      <c r="W400" s="354">
        <f>IFERROR(Table5[[#This Row],[Breakdown Time]]*Table5[[#This Row],[Plant Equivalent Weightage]],"")</f>
        <v>1.1363636363636324E-2</v>
      </c>
      <c r="X400" s="289" t="s">
        <v>343</v>
      </c>
      <c r="Y400" s="290" t="s">
        <v>96</v>
      </c>
      <c r="Z400" s="79"/>
      <c r="AA400" s="283">
        <v>1063</v>
      </c>
      <c r="AB400" s="79"/>
      <c r="AC400" s="23"/>
      <c r="AD400" s="23"/>
    </row>
    <row r="401" spans="1:30">
      <c r="A401" s="79">
        <f t="shared" si="36"/>
        <v>400</v>
      </c>
      <c r="B401" s="283">
        <f>YEAR(Table5[[#This Row],[Date]])+IF(MONTH(Table5[[#This Row],[Date]])&gt;=4,1,0)</f>
        <v>2026</v>
      </c>
      <c r="C401" s="79">
        <f>YEAR(Table5[[#This Row],[Date]])</f>
        <v>2025</v>
      </c>
      <c r="D401" s="79" t="s">
        <v>344</v>
      </c>
      <c r="E401" s="284">
        <f>Table5[[#This Row],[Date]]-DAY(Table5[[#This Row],[Date]])+1</f>
        <v>45839</v>
      </c>
      <c r="F401" s="285">
        <v>45866</v>
      </c>
      <c r="G401" s="79" t="s">
        <v>82</v>
      </c>
      <c r="H401" s="23" t="str">
        <f>IFERROR(_xlfn.XLOOKUP(Table5[[#This Row],[Affected WTG]],'Basic Data'!$A:$A,'Basic Data'!$B:$B),"")</f>
        <v>PWEPL</v>
      </c>
      <c r="I401" s="23" t="str">
        <f>IFERROR(_xlfn.XLOOKUP(Table5[[#This Row],[Affected WTG]],'Basic Data'!$A:$A,'Basic Data'!$C:$C),"")</f>
        <v>MSEDCL</v>
      </c>
      <c r="J401" s="286">
        <f>IFERROR(_xlfn.XLOOKUP(Table5[[#This Row],[Affected WTG]],'Basic Data'!$A:$A,'Basic Data'!$E:$E),"")</f>
        <v>2.2727272727272728E-2</v>
      </c>
      <c r="K401" s="79">
        <v>213</v>
      </c>
      <c r="L401" s="23" t="str">
        <f>IFERROR(_xlfn.XLOOKUP(Table5[[#This Row],[Error Code]],'Basic Data'!$W:$W,'Basic Data'!$X:$X),"Incorrect Error Code")</f>
        <v>Battery voltage not OK axis 2</v>
      </c>
      <c r="M401" s="23" t="s">
        <v>947</v>
      </c>
      <c r="N401" s="23"/>
      <c r="O401" s="355">
        <v>0.97916666666666663</v>
      </c>
      <c r="P401" s="355">
        <v>0.97916666666666663</v>
      </c>
      <c r="Q401" s="355">
        <v>0.99930555555555556</v>
      </c>
      <c r="R401" s="341">
        <f t="shared" si="38"/>
        <v>2.0138888888888928E-2</v>
      </c>
      <c r="S401" s="353">
        <f>(Table5[[#This Row],[Fault Clearance time]]-Table5[[#This Row],[Work Start TimeStamp]])*24</f>
        <v>0.48333333333333428</v>
      </c>
      <c r="T401" s="353">
        <f>(Table5[[#This Row],[Fault Clearance time]]-Table5[[#This Row],[Fault Start TimeStamp]])*24</f>
        <v>0.48333333333333428</v>
      </c>
      <c r="U401" s="23" t="s">
        <v>456</v>
      </c>
      <c r="V401" s="79" t="s">
        <v>339</v>
      </c>
      <c r="W401" s="354">
        <f>IFERROR(Table5[[#This Row],[Breakdown Time]]*Table5[[#This Row],[Plant Equivalent Weightage]],"")</f>
        <v>1.0984848484848507E-2</v>
      </c>
      <c r="X401" s="289" t="s">
        <v>343</v>
      </c>
      <c r="Y401" s="290" t="s">
        <v>93</v>
      </c>
      <c r="Z401" s="79"/>
      <c r="AA401" s="283">
        <v>1025</v>
      </c>
      <c r="AB401" s="79"/>
      <c r="AC401" s="23"/>
      <c r="AD401" s="23"/>
    </row>
    <row r="404" spans="1:30">
      <c r="O404"/>
      <c r="R404"/>
    </row>
    <row r="405" spans="1:30">
      <c r="O405"/>
      <c r="R405"/>
    </row>
    <row r="406" spans="1:30">
      <c r="O406"/>
      <c r="R406"/>
    </row>
    <row r="407" spans="1:30">
      <c r="O407"/>
      <c r="R407"/>
    </row>
    <row r="408" spans="1:30">
      <c r="O408"/>
      <c r="R408"/>
    </row>
    <row r="409" spans="1:30">
      <c r="O409"/>
      <c r="R409"/>
    </row>
    <row r="410" spans="1:30">
      <c r="O410"/>
      <c r="R410"/>
    </row>
    <row r="411" spans="1:30">
      <c r="O411"/>
      <c r="R411"/>
    </row>
    <row r="412" spans="1:30">
      <c r="O412"/>
      <c r="R412"/>
    </row>
    <row r="413" spans="1:30">
      <c r="O413"/>
      <c r="R413"/>
    </row>
    <row r="414" spans="1:30">
      <c r="O414"/>
      <c r="R414"/>
    </row>
    <row r="415" spans="1:30">
      <c r="O415"/>
      <c r="R415"/>
    </row>
    <row r="416" spans="1:30">
      <c r="O416"/>
      <c r="R416"/>
    </row>
    <row r="417" spans="15:18">
      <c r="O417"/>
      <c r="R417"/>
    </row>
    <row r="418" spans="15:18">
      <c r="O418"/>
      <c r="R418"/>
    </row>
    <row r="419" spans="15:18">
      <c r="O419"/>
      <c r="R419"/>
    </row>
    <row r="420" spans="15:18">
      <c r="O420"/>
      <c r="R420"/>
    </row>
  </sheetData>
  <conditionalFormatting sqref="L1:L328 L330 L332:L369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N421:N1048576 N2:N403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X402:X1048576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X352:X401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97"/>
  <sheetViews>
    <sheetView workbookViewId="0">
      <pane xSplit="6" ySplit="1" topLeftCell="G1187" activePane="bottomRight" state="frozen"/>
      <selection pane="topRight" activeCell="G1" sqref="G1"/>
      <selection pane="bottomLeft" activeCell="A2" sqref="A2"/>
      <selection pane="bottomRight" activeCell="H1213" sqref="H1213"/>
    </sheetView>
  </sheetViews>
  <sheetFormatPr defaultColWidth="8.6328125" defaultRowHeight="14.5"/>
  <cols>
    <col min="1" max="1" width="8.6328125" style="79"/>
    <col min="2" max="2" width="12.08984375" style="79" customWidth="1"/>
    <col min="3" max="3" width="12.36328125" style="79" customWidth="1"/>
    <col min="4" max="4" width="13" style="79" customWidth="1"/>
    <col min="5" max="5" width="8.6328125" style="79"/>
    <col min="6" max="6" width="9.54296875" style="79" bestFit="1" customWidth="1"/>
    <col min="7" max="7" width="14.08984375" style="79" customWidth="1"/>
    <col min="8" max="8" width="8.6328125" style="79"/>
    <col min="9" max="9" width="9.90625" style="79" customWidth="1"/>
    <col min="10" max="10" width="21.63281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6328125" style="79" customWidth="1"/>
    <col min="15" max="15" width="13.08984375" style="79" customWidth="1"/>
    <col min="16" max="16" width="13.90625" style="79" customWidth="1"/>
    <col min="17" max="17" width="14.453125" style="79" customWidth="1"/>
    <col min="18" max="18" width="51.08984375" style="79" bestFit="1" customWidth="1"/>
    <col min="19" max="19" width="8.6328125" style="79"/>
    <col min="20" max="20" width="22.089843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6328125" style="79"/>
    <col min="25" max="25" width="8.90625" style="79" customWidth="1"/>
    <col min="26" max="26" width="11.54296875" style="79" customWidth="1"/>
    <col min="27" max="16384" width="8.63281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55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  <row r="1117" spans="1:23">
      <c r="A1117" s="79">
        <f t="shared" si="17"/>
        <v>1116</v>
      </c>
      <c r="B1117" s="79">
        <f>YEAR(Table6[[#This Row],[Date]])+IF(MONTH(Table6[[#This Row],[Date]])&gt;=4,1,0)</f>
        <v>2026</v>
      </c>
      <c r="C1117" s="79">
        <f>YEAR(Table6[[#This Row],[Date]])</f>
        <v>2025</v>
      </c>
      <c r="D1117" s="79" t="s">
        <v>344</v>
      </c>
      <c r="E1117" s="284">
        <f>Table6[[#This Row],[Date]]-DAY(Table6[[#This Row],[Date]])+1</f>
        <v>45839</v>
      </c>
      <c r="F1117" s="285">
        <v>45862</v>
      </c>
      <c r="G1117" s="79" t="s">
        <v>87</v>
      </c>
      <c r="H1117" s="79" t="str">
        <f>IFERROR(_xlfn.XLOOKUP(Table6[[#This Row],[Affected Feeder ]],'Basic Data'!$A:$A,'Basic Data'!$B:$B),"")</f>
        <v>PWEPL</v>
      </c>
      <c r="I1117" s="79" t="str">
        <f>IFERROR(_xlfn.XLOOKUP(Table6[[#This Row],[Affected Feeder ]],'Basic Data'!$A:$A,'Basic Data'!$C:$C),"")</f>
        <v>MSEDCL</v>
      </c>
      <c r="J1117" s="295">
        <f>IFERROR(_xlfn.XLOOKUP(Table6[[#This Row],[Affected Feeder ]],'Basic Data'!$A:$A,'Basic Data'!$E:$E),"")</f>
        <v>2.2727272727272728E-2</v>
      </c>
      <c r="K1117" s="296" t="s">
        <v>993</v>
      </c>
      <c r="L1117" s="297">
        <v>0.57430555555555551</v>
      </c>
      <c r="M1117" s="297">
        <v>0.57430555555555551</v>
      </c>
      <c r="N1117" s="297">
        <v>0.67499999999999993</v>
      </c>
      <c r="O1117" s="298">
        <f>(Table6[[#This Row],[Work Start TimeStamp]]-Table6[[#This Row],[Fault Start TimeStamp]])*24</f>
        <v>0</v>
      </c>
      <c r="P1117" s="298">
        <f>(Table6[[#This Row],[Fault Clearance time]]-Table6[[#This Row],[Fault Start TimeStamp]])*24</f>
        <v>2.4166666666666661</v>
      </c>
      <c r="Q1117" s="298">
        <f>(Table6[[#This Row],[Fault Clearance time]]-Table6[[#This Row],[Fault Start TimeStamp]])*24</f>
        <v>2.4166666666666661</v>
      </c>
      <c r="R1117" s="79" t="s">
        <v>994</v>
      </c>
      <c r="S1117" s="79" t="s">
        <v>339</v>
      </c>
      <c r="T1117" s="298">
        <f>IFERROR(Table6[[#This Row],[Breakdown Time]]*Table6[[#This Row],[Plant Equivalent Weightage]],"")</f>
        <v>5.492424242424241E-2</v>
      </c>
      <c r="U1117" s="79" t="s">
        <v>411</v>
      </c>
      <c r="W1117" s="79">
        <v>2718</v>
      </c>
    </row>
    <row r="1118" spans="1:23">
      <c r="A1118" s="79">
        <f t="shared" si="17"/>
        <v>1117</v>
      </c>
      <c r="B1118" s="79">
        <f>YEAR(Table6[[#This Row],[Date]])+IF(MONTH(Table6[[#This Row],[Date]])&gt;=4,1,0)</f>
        <v>2026</v>
      </c>
      <c r="C1118" s="79">
        <f>YEAR(Table6[[#This Row],[Date]])</f>
        <v>2025</v>
      </c>
      <c r="D1118" s="79" t="s">
        <v>344</v>
      </c>
      <c r="E1118" s="284">
        <f>Table6[[#This Row],[Date]]-DAY(Table6[[#This Row],[Date]])+1</f>
        <v>45839</v>
      </c>
      <c r="F1118" s="285">
        <v>45862</v>
      </c>
      <c r="G1118" s="79" t="s">
        <v>87</v>
      </c>
      <c r="H1118" s="79" t="str">
        <f>IFERROR(_xlfn.XLOOKUP(Table6[[#This Row],[Affected Feeder ]],'Basic Data'!$A:$A,'Basic Data'!$B:$B),"")</f>
        <v>PWEPL</v>
      </c>
      <c r="I1118" s="79" t="str">
        <f>IFERROR(_xlfn.XLOOKUP(Table6[[#This Row],[Affected Feeder ]],'Basic Data'!$A:$A,'Basic Data'!$C:$C),"")</f>
        <v>MSEDCL</v>
      </c>
      <c r="J1118" s="295">
        <f>IFERROR(_xlfn.XLOOKUP(Table6[[#This Row],[Affected Feeder ]],'Basic Data'!$A:$A,'Basic Data'!$E:$E),"")</f>
        <v>2.2727272727272728E-2</v>
      </c>
      <c r="K1118" s="296" t="s">
        <v>171</v>
      </c>
      <c r="L1118" s="297">
        <v>0.67499999999999993</v>
      </c>
      <c r="M1118" s="297">
        <v>0.67499999999999993</v>
      </c>
      <c r="N1118" s="297">
        <v>0.68541666666666667</v>
      </c>
      <c r="O1118" s="298">
        <f>(Table6[[#This Row],[Work Start TimeStamp]]-Table6[[#This Row],[Fault Start TimeStamp]])*24</f>
        <v>0</v>
      </c>
      <c r="P1118" s="298">
        <f>(Table6[[#This Row],[Fault Clearance time]]-Table6[[#This Row],[Fault Start TimeStamp]])*24</f>
        <v>0.25000000000000178</v>
      </c>
      <c r="Q1118" s="298">
        <f>(Table6[[#This Row],[Fault Clearance time]]-Table6[[#This Row],[Fault Start TimeStamp]])*24</f>
        <v>0.25000000000000178</v>
      </c>
      <c r="R1118" s="79" t="s">
        <v>353</v>
      </c>
      <c r="S1118" s="79" t="s">
        <v>339</v>
      </c>
      <c r="T1118" s="298">
        <f>IFERROR(Table6[[#This Row],[Breakdown Time]]*Table6[[#This Row],[Plant Equivalent Weightage]],"")</f>
        <v>5.6818181818182227E-3</v>
      </c>
      <c r="U1118" s="79" t="s">
        <v>411</v>
      </c>
      <c r="W1118" s="79">
        <v>281</v>
      </c>
    </row>
    <row r="1119" spans="1:23">
      <c r="A1119" s="79">
        <f t="shared" si="17"/>
        <v>1118</v>
      </c>
      <c r="B1119" s="79">
        <f>YEAR(Table6[[#This Row],[Date]])+IF(MONTH(Table6[[#This Row],[Date]])&gt;=4,1,0)</f>
        <v>2026</v>
      </c>
      <c r="C1119" s="79">
        <f>YEAR(Table6[[#This Row],[Date]])</f>
        <v>2025</v>
      </c>
      <c r="D1119" s="79" t="s">
        <v>344</v>
      </c>
      <c r="E1119" s="284">
        <f>Table6[[#This Row],[Date]]-DAY(Table6[[#This Row],[Date]])+1</f>
        <v>45839</v>
      </c>
      <c r="F1119" s="285">
        <v>45863</v>
      </c>
      <c r="G1119" s="79" t="s">
        <v>89</v>
      </c>
      <c r="H1119" s="79" t="str">
        <f>IFERROR(_xlfn.XLOOKUP(Table6[[#This Row],[Affected Feeder ]],'Basic Data'!$A:$A,'Basic Data'!$B:$B),"")</f>
        <v>PWEPL</v>
      </c>
      <c r="I1119" s="79" t="str">
        <f>IFERROR(_xlfn.XLOOKUP(Table6[[#This Row],[Affected Feeder ]],'Basic Data'!$A:$A,'Basic Data'!$C:$C),"")</f>
        <v>MSEDCL</v>
      </c>
      <c r="J1119" s="295">
        <f>IFERROR(_xlfn.XLOOKUP(Table6[[#This Row],[Affected Feeder ]],'Basic Data'!$A:$A,'Basic Data'!$E:$E),"")</f>
        <v>2.2727272727272728E-2</v>
      </c>
      <c r="K1119" s="296" t="s">
        <v>796</v>
      </c>
      <c r="L1119" s="297">
        <v>0.2986111111111111</v>
      </c>
      <c r="M1119" s="297">
        <v>0.2986111111111111</v>
      </c>
      <c r="N1119" s="297">
        <v>0.31180555555555556</v>
      </c>
      <c r="O1119" s="298">
        <f>(Table6[[#This Row],[Work Start TimeStamp]]-Table6[[#This Row],[Fault Start TimeStamp]])*24</f>
        <v>0</v>
      </c>
      <c r="P1119" s="298">
        <f>(Table6[[#This Row],[Fault Clearance time]]-Table6[[#This Row],[Fault Start TimeStamp]])*24</f>
        <v>0.31666666666666687</v>
      </c>
      <c r="Q1119" s="298">
        <f>(Table6[[#This Row],[Fault Clearance time]]-Table6[[#This Row],[Fault Start TimeStamp]])*24</f>
        <v>0.31666666666666687</v>
      </c>
      <c r="R1119" s="79" t="s">
        <v>424</v>
      </c>
      <c r="S1119" s="79" t="s">
        <v>339</v>
      </c>
      <c r="T1119" s="298">
        <f>IFERROR(Table6[[#This Row],[Breakdown Time]]*Table6[[#This Row],[Plant Equivalent Weightage]],"")</f>
        <v>7.1969696969697017E-3</v>
      </c>
      <c r="U1119" s="79" t="s">
        <v>421</v>
      </c>
      <c r="W1119" s="79">
        <v>708</v>
      </c>
    </row>
    <row r="1120" spans="1:23">
      <c r="A1120" s="79">
        <f t="shared" si="17"/>
        <v>1119</v>
      </c>
      <c r="B1120" s="79">
        <f>YEAR(Table6[[#This Row],[Date]])+IF(MONTH(Table6[[#This Row],[Date]])&gt;=4,1,0)</f>
        <v>2026</v>
      </c>
      <c r="C1120" s="79">
        <f>YEAR(Table6[[#This Row],[Date]])</f>
        <v>2025</v>
      </c>
      <c r="D1120" s="79" t="s">
        <v>344</v>
      </c>
      <c r="E1120" s="284">
        <f>Table6[[#This Row],[Date]]-DAY(Table6[[#This Row],[Date]])+1</f>
        <v>45839</v>
      </c>
      <c r="F1120" s="285">
        <v>45863</v>
      </c>
      <c r="G1120" s="79" t="s">
        <v>89</v>
      </c>
      <c r="H1120" s="79" t="str">
        <f>IFERROR(_xlfn.XLOOKUP(Table6[[#This Row],[Affected Feeder ]],'Basic Data'!$A:$A,'Basic Data'!$B:$B),"")</f>
        <v>PWEPL</v>
      </c>
      <c r="I1120" s="79" t="str">
        <f>IFERROR(_xlfn.XLOOKUP(Table6[[#This Row],[Affected Feeder ]],'Basic Data'!$A:$A,'Basic Data'!$C:$C),"")</f>
        <v>MSEDCL</v>
      </c>
      <c r="J1120" s="295">
        <f>IFERROR(_xlfn.XLOOKUP(Table6[[#This Row],[Affected Feeder ]],'Basic Data'!$A:$A,'Basic Data'!$E:$E),"")</f>
        <v>2.2727272727272728E-2</v>
      </c>
      <c r="K1120" s="296" t="s">
        <v>171</v>
      </c>
      <c r="L1120" s="297">
        <v>0.31180555555555556</v>
      </c>
      <c r="M1120" s="297">
        <v>0.31180555555555556</v>
      </c>
      <c r="N1120" s="297">
        <v>0.32500000000000001</v>
      </c>
      <c r="O1120" s="298">
        <f>(Table6[[#This Row],[Work Start TimeStamp]]-Table6[[#This Row],[Fault Start TimeStamp]])*24</f>
        <v>0</v>
      </c>
      <c r="P1120" s="298">
        <f>(Table6[[#This Row],[Fault Clearance time]]-Table6[[#This Row],[Fault Start TimeStamp]])*24</f>
        <v>0.31666666666666687</v>
      </c>
      <c r="Q1120" s="298">
        <f>(Table6[[#This Row],[Fault Clearance time]]-Table6[[#This Row],[Fault Start TimeStamp]])*24</f>
        <v>0.31666666666666687</v>
      </c>
      <c r="R1120" s="79" t="s">
        <v>353</v>
      </c>
      <c r="S1120" s="79" t="s">
        <v>339</v>
      </c>
      <c r="T1120" s="298">
        <f>IFERROR(Table6[[#This Row],[Breakdown Time]]*Table6[[#This Row],[Plant Equivalent Weightage]],"")</f>
        <v>7.1969696969697017E-3</v>
      </c>
      <c r="U1120" s="79" t="s">
        <v>421</v>
      </c>
      <c r="W1120" s="79">
        <v>640</v>
      </c>
    </row>
    <row r="1121" spans="1:23">
      <c r="A1121" s="79">
        <f t="shared" si="17"/>
        <v>1120</v>
      </c>
      <c r="B1121" s="79">
        <f>YEAR(Table6[[#This Row],[Date]])+IF(MONTH(Table6[[#This Row],[Date]])&gt;=4,1,0)</f>
        <v>2026</v>
      </c>
      <c r="C1121" s="79">
        <f>YEAR(Table6[[#This Row],[Date]])</f>
        <v>2025</v>
      </c>
      <c r="D1121" s="79" t="s">
        <v>344</v>
      </c>
      <c r="E1121" s="284">
        <f>Table6[[#This Row],[Date]]-DAY(Table6[[#This Row],[Date]])+1</f>
        <v>45839</v>
      </c>
      <c r="F1121" s="285">
        <v>45863</v>
      </c>
      <c r="G1121" s="79" t="s">
        <v>405</v>
      </c>
      <c r="H1121" s="79" t="str">
        <f>IFERROR(_xlfn.XLOOKUP(Table6[[#This Row],[Affected Feeder ]],'Basic Data'!$A:$A,'Basic Data'!$B:$B),"")</f>
        <v>PWEPL</v>
      </c>
      <c r="I1121" s="79" t="str">
        <f>IFERROR(_xlfn.XLOOKUP(Table6[[#This Row],[Affected Feeder ]],'Basic Data'!$A:$A,'Basic Data'!$C:$C),"")</f>
        <v>MSEDCL</v>
      </c>
      <c r="J1121" s="295">
        <f>IFERROR(_xlfn.XLOOKUP(Table6[[#This Row],[Affected Feeder ]],'Basic Data'!$A:$A,'Basic Data'!$E:$E),"")</f>
        <v>0.20454545454545453</v>
      </c>
      <c r="K1121" s="296" t="s">
        <v>419</v>
      </c>
      <c r="L1121" s="297">
        <v>0.31597222222222221</v>
      </c>
      <c r="M1121" s="297">
        <v>0.31597222222222221</v>
      </c>
      <c r="N1121" s="297">
        <v>0.37847222222222227</v>
      </c>
      <c r="O1121" s="298">
        <f>(Table6[[#This Row],[Work Start TimeStamp]]-Table6[[#This Row],[Fault Start TimeStamp]])*24</f>
        <v>0</v>
      </c>
      <c r="P1121" s="298">
        <f>(Table6[[#This Row],[Fault Clearance time]]-Table6[[#This Row],[Fault Start TimeStamp]])*24</f>
        <v>1.5000000000000013</v>
      </c>
      <c r="Q1121" s="298">
        <f>(Table6[[#This Row],[Fault Clearance time]]-Table6[[#This Row],[Fault Start TimeStamp]])*24</f>
        <v>1.5000000000000013</v>
      </c>
      <c r="R1121" s="79" t="s">
        <v>420</v>
      </c>
      <c r="S1121" s="79" t="s">
        <v>339</v>
      </c>
      <c r="T1121" s="298">
        <f>IFERROR(Table6[[#This Row],[Breakdown Time]]*Table6[[#This Row],[Plant Equivalent Weightage]],"")</f>
        <v>0.30681818181818205</v>
      </c>
      <c r="U1121" s="79" t="s">
        <v>421</v>
      </c>
      <c r="W1121" s="79">
        <v>10943</v>
      </c>
    </row>
    <row r="1122" spans="1:23">
      <c r="A1122" s="79">
        <f t="shared" si="17"/>
        <v>1121</v>
      </c>
      <c r="B1122" s="79">
        <f>YEAR(Table6[[#This Row],[Date]])+IF(MONTH(Table6[[#This Row],[Date]])&gt;=4,1,0)</f>
        <v>2026</v>
      </c>
      <c r="C1122" s="79">
        <f>YEAR(Table6[[#This Row],[Date]])</f>
        <v>2025</v>
      </c>
      <c r="D1122" s="79" t="s">
        <v>344</v>
      </c>
      <c r="E1122" s="284">
        <f>Table6[[#This Row],[Date]]-DAY(Table6[[#This Row],[Date]])+1</f>
        <v>45839</v>
      </c>
      <c r="F1122" s="285">
        <v>45863</v>
      </c>
      <c r="G1122" s="79" t="s">
        <v>109</v>
      </c>
      <c r="H1122" s="79" t="str">
        <f>IFERROR(_xlfn.XLOOKUP(Table6[[#This Row],[Affected Feeder ]],'Basic Data'!$A:$A,'Basic Data'!$B:$B),"")</f>
        <v>PWEPL</v>
      </c>
      <c r="I1122" s="79" t="str">
        <f>IFERROR(_xlfn.XLOOKUP(Table6[[#This Row],[Affected Feeder ]],'Basic Data'!$A:$A,'Basic Data'!$C:$C),"")</f>
        <v>MSEDCL</v>
      </c>
      <c r="J1122" s="295">
        <f>IFERROR(_xlfn.XLOOKUP(Table6[[#This Row],[Affected Feeder ]],'Basic Data'!$A:$A,'Basic Data'!$E:$E),"")</f>
        <v>2.2727272727272728E-2</v>
      </c>
      <c r="K1122" s="296" t="s">
        <v>171</v>
      </c>
      <c r="L1122" s="297">
        <v>0.37847222222222227</v>
      </c>
      <c r="M1122" s="297">
        <v>0.37847222222222227</v>
      </c>
      <c r="N1122" s="297">
        <v>0.3923611111111111</v>
      </c>
      <c r="O1122" s="298">
        <f>(Table6[[#This Row],[Work Start TimeStamp]]-Table6[[#This Row],[Fault Start TimeStamp]])*24</f>
        <v>0</v>
      </c>
      <c r="P1122" s="298">
        <f>(Table6[[#This Row],[Fault Clearance time]]-Table6[[#This Row],[Fault Start TimeStamp]])*24</f>
        <v>0.33333333333333215</v>
      </c>
      <c r="Q1122" s="298">
        <f>(Table6[[#This Row],[Fault Clearance time]]-Table6[[#This Row],[Fault Start TimeStamp]])*24</f>
        <v>0.33333333333333215</v>
      </c>
      <c r="R1122" s="79" t="s">
        <v>353</v>
      </c>
      <c r="S1122" s="79" t="s">
        <v>339</v>
      </c>
      <c r="T1122" s="298">
        <f>IFERROR(Table6[[#This Row],[Breakdown Time]]*Table6[[#This Row],[Plant Equivalent Weightage]],"")</f>
        <v>7.5757575757575491E-3</v>
      </c>
      <c r="U1122" s="79" t="s">
        <v>421</v>
      </c>
      <c r="W1122" s="79">
        <v>486</v>
      </c>
    </row>
    <row r="1123" spans="1:23">
      <c r="A1123" s="79">
        <f t="shared" si="17"/>
        <v>1122</v>
      </c>
      <c r="B1123" s="79">
        <f>YEAR(Table6[[#This Row],[Date]])+IF(MONTH(Table6[[#This Row],[Date]])&gt;=4,1,0)</f>
        <v>2026</v>
      </c>
      <c r="C1123" s="79">
        <f>YEAR(Table6[[#This Row],[Date]])</f>
        <v>2025</v>
      </c>
      <c r="D1123" s="79" t="s">
        <v>344</v>
      </c>
      <c r="E1123" s="284">
        <f>Table6[[#This Row],[Date]]-DAY(Table6[[#This Row],[Date]])+1</f>
        <v>45839</v>
      </c>
      <c r="F1123" s="285">
        <v>45863</v>
      </c>
      <c r="G1123" s="79" t="s">
        <v>111</v>
      </c>
      <c r="H1123" s="79" t="str">
        <f>IFERROR(_xlfn.XLOOKUP(Table6[[#This Row],[Affected Feeder ]],'Basic Data'!$A:$A,'Basic Data'!$B:$B),"")</f>
        <v>PWEPL</v>
      </c>
      <c r="I1123" s="79" t="str">
        <f>IFERROR(_xlfn.XLOOKUP(Table6[[#This Row],[Affected Feeder ]],'Basic Data'!$A:$A,'Basic Data'!$C:$C),"")</f>
        <v>MSEDCL</v>
      </c>
      <c r="J1123" s="295">
        <f>IFERROR(_xlfn.XLOOKUP(Table6[[#This Row],[Affected Feeder ]],'Basic Data'!$A:$A,'Basic Data'!$E:$E),"")</f>
        <v>2.2727272727272728E-2</v>
      </c>
      <c r="K1123" s="296" t="s">
        <v>171</v>
      </c>
      <c r="L1123" s="297">
        <v>0.37847222222222227</v>
      </c>
      <c r="M1123" s="297">
        <v>0.37847222222222227</v>
      </c>
      <c r="N1123" s="297">
        <v>0.3923611111111111</v>
      </c>
      <c r="O1123" s="298">
        <f>(Table6[[#This Row],[Work Start TimeStamp]]-Table6[[#This Row],[Fault Start TimeStamp]])*24</f>
        <v>0</v>
      </c>
      <c r="P1123" s="298">
        <f>(Table6[[#This Row],[Fault Clearance time]]-Table6[[#This Row],[Fault Start TimeStamp]])*24</f>
        <v>0.33333333333333215</v>
      </c>
      <c r="Q1123" s="298">
        <f>(Table6[[#This Row],[Fault Clearance time]]-Table6[[#This Row],[Fault Start TimeStamp]])*24</f>
        <v>0.33333333333333215</v>
      </c>
      <c r="R1123" s="79" t="s">
        <v>353</v>
      </c>
      <c r="S1123" s="79" t="s">
        <v>339</v>
      </c>
      <c r="T1123" s="298">
        <f>IFERROR(Table6[[#This Row],[Breakdown Time]]*Table6[[#This Row],[Plant Equivalent Weightage]],"")</f>
        <v>7.5757575757575491E-3</v>
      </c>
      <c r="U1123" s="79" t="s">
        <v>421</v>
      </c>
      <c r="W1123" s="79">
        <v>486</v>
      </c>
    </row>
    <row r="1124" spans="1:23">
      <c r="A1124" s="79">
        <f t="shared" si="17"/>
        <v>1123</v>
      </c>
      <c r="B1124" s="79">
        <f>YEAR(Table6[[#This Row],[Date]])+IF(MONTH(Table6[[#This Row],[Date]])&gt;=4,1,0)</f>
        <v>2026</v>
      </c>
      <c r="C1124" s="79">
        <f>YEAR(Table6[[#This Row],[Date]])</f>
        <v>2025</v>
      </c>
      <c r="D1124" s="79" t="s">
        <v>344</v>
      </c>
      <c r="E1124" s="284">
        <f>Table6[[#This Row],[Date]]-DAY(Table6[[#This Row],[Date]])+1</f>
        <v>45839</v>
      </c>
      <c r="F1124" s="285">
        <v>45863</v>
      </c>
      <c r="G1124" s="79" t="s">
        <v>112</v>
      </c>
      <c r="H1124" s="79" t="str">
        <f>IFERROR(_xlfn.XLOOKUP(Table6[[#This Row],[Affected Feeder ]],'Basic Data'!$A:$A,'Basic Data'!$B:$B),"")</f>
        <v>PWEPL</v>
      </c>
      <c r="I1124" s="79" t="str">
        <f>IFERROR(_xlfn.XLOOKUP(Table6[[#This Row],[Affected Feeder ]],'Basic Data'!$A:$A,'Basic Data'!$C:$C),"")</f>
        <v>MSEDCL</v>
      </c>
      <c r="J1124" s="295">
        <f>IFERROR(_xlfn.XLOOKUP(Table6[[#This Row],[Affected Feeder ]],'Basic Data'!$A:$A,'Basic Data'!$E:$E),"")</f>
        <v>2.2727272727272728E-2</v>
      </c>
      <c r="K1124" s="296" t="s">
        <v>171</v>
      </c>
      <c r="L1124" s="297">
        <v>0.37847222222222227</v>
      </c>
      <c r="M1124" s="297">
        <v>0.37847222222222227</v>
      </c>
      <c r="N1124" s="297">
        <v>0.3923611111111111</v>
      </c>
      <c r="O1124" s="298">
        <f>(Table6[[#This Row],[Work Start TimeStamp]]-Table6[[#This Row],[Fault Start TimeStamp]])*24</f>
        <v>0</v>
      </c>
      <c r="P1124" s="298">
        <f>(Table6[[#This Row],[Fault Clearance time]]-Table6[[#This Row],[Fault Start TimeStamp]])*24</f>
        <v>0.33333333333333215</v>
      </c>
      <c r="Q1124" s="298">
        <f>(Table6[[#This Row],[Fault Clearance time]]-Table6[[#This Row],[Fault Start TimeStamp]])*24</f>
        <v>0.33333333333333215</v>
      </c>
      <c r="R1124" s="79" t="s">
        <v>353</v>
      </c>
      <c r="S1124" s="79" t="s">
        <v>339</v>
      </c>
      <c r="T1124" s="298">
        <f>IFERROR(Table6[[#This Row],[Breakdown Time]]*Table6[[#This Row],[Plant Equivalent Weightage]],"")</f>
        <v>7.5757575757575491E-3</v>
      </c>
      <c r="U1124" s="79" t="s">
        <v>421</v>
      </c>
      <c r="W1124" s="79">
        <v>486</v>
      </c>
    </row>
    <row r="1125" spans="1:23">
      <c r="A1125" s="79">
        <f t="shared" si="17"/>
        <v>1124</v>
      </c>
      <c r="B1125" s="79">
        <f>YEAR(Table6[[#This Row],[Date]])+IF(MONTH(Table6[[#This Row],[Date]])&gt;=4,1,0)</f>
        <v>2026</v>
      </c>
      <c r="C1125" s="79">
        <f>YEAR(Table6[[#This Row],[Date]])</f>
        <v>2025</v>
      </c>
      <c r="D1125" s="79" t="s">
        <v>344</v>
      </c>
      <c r="E1125" s="284">
        <f>Table6[[#This Row],[Date]]-DAY(Table6[[#This Row],[Date]])+1</f>
        <v>45839</v>
      </c>
      <c r="F1125" s="285">
        <v>45863</v>
      </c>
      <c r="G1125" s="79" t="s">
        <v>113</v>
      </c>
      <c r="H1125" s="79" t="str">
        <f>IFERROR(_xlfn.XLOOKUP(Table6[[#This Row],[Affected Feeder ]],'Basic Data'!$A:$A,'Basic Data'!$B:$B),"")</f>
        <v>PWEPL</v>
      </c>
      <c r="I1125" s="79" t="str">
        <f>IFERROR(_xlfn.XLOOKUP(Table6[[#This Row],[Affected Feeder ]],'Basic Data'!$A:$A,'Basic Data'!$C:$C),"")</f>
        <v>MSEDCL</v>
      </c>
      <c r="J1125" s="295">
        <f>IFERROR(_xlfn.XLOOKUP(Table6[[#This Row],[Affected Feeder ]],'Basic Data'!$A:$A,'Basic Data'!$E:$E),"")</f>
        <v>2.2727272727272728E-2</v>
      </c>
      <c r="K1125" s="296" t="s">
        <v>171</v>
      </c>
      <c r="L1125" s="297">
        <v>0.37847222222222227</v>
      </c>
      <c r="M1125" s="297">
        <v>0.37847222222222227</v>
      </c>
      <c r="N1125" s="297">
        <v>0.3923611111111111</v>
      </c>
      <c r="O1125" s="298">
        <f>(Table6[[#This Row],[Work Start TimeStamp]]-Table6[[#This Row],[Fault Start TimeStamp]])*24</f>
        <v>0</v>
      </c>
      <c r="P1125" s="298">
        <f>(Table6[[#This Row],[Fault Clearance time]]-Table6[[#This Row],[Fault Start TimeStamp]])*24</f>
        <v>0.33333333333333215</v>
      </c>
      <c r="Q1125" s="298">
        <f>(Table6[[#This Row],[Fault Clearance time]]-Table6[[#This Row],[Fault Start TimeStamp]])*24</f>
        <v>0.33333333333333215</v>
      </c>
      <c r="R1125" s="79" t="s">
        <v>353</v>
      </c>
      <c r="S1125" s="79" t="s">
        <v>339</v>
      </c>
      <c r="T1125" s="298">
        <f>IFERROR(Table6[[#This Row],[Breakdown Time]]*Table6[[#This Row],[Plant Equivalent Weightage]],"")</f>
        <v>7.5757575757575491E-3</v>
      </c>
      <c r="U1125" s="79" t="s">
        <v>421</v>
      </c>
      <c r="W1125" s="79">
        <v>486</v>
      </c>
    </row>
    <row r="1126" spans="1:23">
      <c r="A1126" s="79">
        <f t="shared" si="17"/>
        <v>1125</v>
      </c>
      <c r="B1126" s="79">
        <f>YEAR(Table6[[#This Row],[Date]])+IF(MONTH(Table6[[#This Row],[Date]])&gt;=4,1,0)</f>
        <v>2026</v>
      </c>
      <c r="C1126" s="79">
        <f>YEAR(Table6[[#This Row],[Date]])</f>
        <v>2025</v>
      </c>
      <c r="D1126" s="79" t="s">
        <v>344</v>
      </c>
      <c r="E1126" s="284">
        <f>Table6[[#This Row],[Date]]-DAY(Table6[[#This Row],[Date]])+1</f>
        <v>45839</v>
      </c>
      <c r="F1126" s="285">
        <v>45863</v>
      </c>
      <c r="G1126" s="79" t="s">
        <v>114</v>
      </c>
      <c r="H1126" s="79" t="str">
        <f>IFERROR(_xlfn.XLOOKUP(Table6[[#This Row],[Affected Feeder ]],'Basic Data'!$A:$A,'Basic Data'!$B:$B),"")</f>
        <v>PWEPL</v>
      </c>
      <c r="I1126" s="79" t="str">
        <f>IFERROR(_xlfn.XLOOKUP(Table6[[#This Row],[Affected Feeder ]],'Basic Data'!$A:$A,'Basic Data'!$C:$C),"")</f>
        <v>MSEDCL</v>
      </c>
      <c r="J1126" s="295">
        <f>IFERROR(_xlfn.XLOOKUP(Table6[[#This Row],[Affected Feeder ]],'Basic Data'!$A:$A,'Basic Data'!$E:$E),"")</f>
        <v>2.2727272727272728E-2</v>
      </c>
      <c r="K1126" s="296" t="s">
        <v>171</v>
      </c>
      <c r="L1126" s="297">
        <v>0.37847222222222227</v>
      </c>
      <c r="M1126" s="297">
        <v>0.37847222222222227</v>
      </c>
      <c r="N1126" s="297">
        <v>0.3923611111111111</v>
      </c>
      <c r="O1126" s="298">
        <f>(Table6[[#This Row],[Work Start TimeStamp]]-Table6[[#This Row],[Fault Start TimeStamp]])*24</f>
        <v>0</v>
      </c>
      <c r="P1126" s="298">
        <f>(Table6[[#This Row],[Fault Clearance time]]-Table6[[#This Row],[Fault Start TimeStamp]])*24</f>
        <v>0.33333333333333215</v>
      </c>
      <c r="Q1126" s="298">
        <f>(Table6[[#This Row],[Fault Clearance time]]-Table6[[#This Row],[Fault Start TimeStamp]])*24</f>
        <v>0.33333333333333215</v>
      </c>
      <c r="R1126" s="79" t="s">
        <v>353</v>
      </c>
      <c r="S1126" s="79" t="s">
        <v>339</v>
      </c>
      <c r="T1126" s="298">
        <f>IFERROR(Table6[[#This Row],[Breakdown Time]]*Table6[[#This Row],[Plant Equivalent Weightage]],"")</f>
        <v>7.5757575757575491E-3</v>
      </c>
      <c r="U1126" s="79" t="s">
        <v>421</v>
      </c>
      <c r="W1126" s="79">
        <v>486</v>
      </c>
    </row>
    <row r="1127" spans="1:23">
      <c r="A1127" s="79">
        <f t="shared" si="17"/>
        <v>1126</v>
      </c>
      <c r="B1127" s="79">
        <f>YEAR(Table6[[#This Row],[Date]])+IF(MONTH(Table6[[#This Row],[Date]])&gt;=4,1,0)</f>
        <v>2026</v>
      </c>
      <c r="C1127" s="79">
        <f>YEAR(Table6[[#This Row],[Date]])</f>
        <v>2025</v>
      </c>
      <c r="D1127" s="79" t="s">
        <v>344</v>
      </c>
      <c r="E1127" s="284">
        <f>Table6[[#This Row],[Date]]-DAY(Table6[[#This Row],[Date]])+1</f>
        <v>45839</v>
      </c>
      <c r="F1127" s="285">
        <v>45863</v>
      </c>
      <c r="G1127" s="79" t="s">
        <v>80</v>
      </c>
      <c r="H1127" s="79" t="str">
        <f>IFERROR(_xlfn.XLOOKUP(Table6[[#This Row],[Affected Feeder ]],'Basic Data'!$A:$A,'Basic Data'!$B:$B),"")</f>
        <v>PWEPL</v>
      </c>
      <c r="I1127" s="79" t="str">
        <f>IFERROR(_xlfn.XLOOKUP(Table6[[#This Row],[Affected Feeder ]],'Basic Data'!$A:$A,'Basic Data'!$C:$C),"")</f>
        <v>MSEDCL</v>
      </c>
      <c r="J1127" s="295">
        <f>IFERROR(_xlfn.XLOOKUP(Table6[[#This Row],[Affected Feeder ]],'Basic Data'!$A:$A,'Basic Data'!$E:$E),"")</f>
        <v>2.2727272727272728E-2</v>
      </c>
      <c r="K1127" s="296" t="s">
        <v>909</v>
      </c>
      <c r="L1127" s="297">
        <v>0.37847222222222227</v>
      </c>
      <c r="M1127" s="297">
        <v>0.37847222222222227</v>
      </c>
      <c r="N1127" s="297">
        <v>0.4069444444444445</v>
      </c>
      <c r="O1127" s="298">
        <f>(Table6[[#This Row],[Work Start TimeStamp]]-Table6[[#This Row],[Fault Start TimeStamp]])*24</f>
        <v>0</v>
      </c>
      <c r="P1127" s="298">
        <f>(Table6[[#This Row],[Fault Clearance time]]-Table6[[#This Row],[Fault Start TimeStamp]])*24</f>
        <v>0.68333333333333357</v>
      </c>
      <c r="Q1127" s="298">
        <f>(Table6[[#This Row],[Fault Clearance time]]-Table6[[#This Row],[Fault Start TimeStamp]])*24</f>
        <v>0.68333333333333357</v>
      </c>
      <c r="R1127" s="79" t="s">
        <v>353</v>
      </c>
      <c r="S1127" s="79" t="s">
        <v>339</v>
      </c>
      <c r="T1127" s="298">
        <f>IFERROR(Table6[[#This Row],[Breakdown Time]]*Table6[[#This Row],[Plant Equivalent Weightage]],"")</f>
        <v>1.5530303030303037E-2</v>
      </c>
      <c r="U1127" s="79" t="s">
        <v>421</v>
      </c>
      <c r="W1127" s="79">
        <v>3493</v>
      </c>
    </row>
    <row r="1128" spans="1:23">
      <c r="A1128" s="79">
        <f t="shared" si="17"/>
        <v>1127</v>
      </c>
      <c r="B1128" s="79">
        <f>YEAR(Table6[[#This Row],[Date]])+IF(MONTH(Table6[[#This Row],[Date]])&gt;=4,1,0)</f>
        <v>2026</v>
      </c>
      <c r="C1128" s="79">
        <f>YEAR(Table6[[#This Row],[Date]])</f>
        <v>2025</v>
      </c>
      <c r="D1128" s="79" t="s">
        <v>344</v>
      </c>
      <c r="E1128" s="284">
        <f>Table6[[#This Row],[Date]]-DAY(Table6[[#This Row],[Date]])+1</f>
        <v>45839</v>
      </c>
      <c r="F1128" s="285">
        <v>45863</v>
      </c>
      <c r="G1128" s="79" t="s">
        <v>80</v>
      </c>
      <c r="H1128" s="79" t="str">
        <f>IFERROR(_xlfn.XLOOKUP(Table6[[#This Row],[Affected Feeder ]],'Basic Data'!$A:$A,'Basic Data'!$B:$B),"")</f>
        <v>PWEPL</v>
      </c>
      <c r="I1128" s="79" t="str">
        <f>IFERROR(_xlfn.XLOOKUP(Table6[[#This Row],[Affected Feeder ]],'Basic Data'!$A:$A,'Basic Data'!$C:$C),"")</f>
        <v>MSEDCL</v>
      </c>
      <c r="J1128" s="295">
        <f>IFERROR(_xlfn.XLOOKUP(Table6[[#This Row],[Affected Feeder ]],'Basic Data'!$A:$A,'Basic Data'!$E:$E),"")</f>
        <v>2.2727272727272728E-2</v>
      </c>
      <c r="K1128" s="296" t="s">
        <v>171</v>
      </c>
      <c r="L1128" s="297">
        <v>0.4069444444444445</v>
      </c>
      <c r="M1128" s="297">
        <v>0.4069444444444445</v>
      </c>
      <c r="N1128" s="297">
        <v>0.41666666666666669</v>
      </c>
      <c r="O1128" s="298">
        <f>(Table6[[#This Row],[Work Start TimeStamp]]-Table6[[#This Row],[Fault Start TimeStamp]])*24</f>
        <v>0</v>
      </c>
      <c r="P1128" s="298">
        <f>(Table6[[#This Row],[Fault Clearance time]]-Table6[[#This Row],[Fault Start TimeStamp]])*24</f>
        <v>0.2333333333333325</v>
      </c>
      <c r="Q1128" s="298">
        <f>(Table6[[#This Row],[Fault Clearance time]]-Table6[[#This Row],[Fault Start TimeStamp]])*24</f>
        <v>0.2333333333333325</v>
      </c>
      <c r="R1128" s="79" t="s">
        <v>353</v>
      </c>
      <c r="S1128" s="79" t="s">
        <v>339</v>
      </c>
      <c r="T1128" s="298">
        <f>IFERROR(Table6[[#This Row],[Breakdown Time]]*Table6[[#This Row],[Plant Equivalent Weightage]],"")</f>
        <v>5.3030303030302843E-3</v>
      </c>
      <c r="U1128" s="79" t="s">
        <v>421</v>
      </c>
      <c r="W1128" s="79">
        <v>325</v>
      </c>
    </row>
    <row r="1129" spans="1:23">
      <c r="A1129" s="79">
        <f t="shared" si="17"/>
        <v>1128</v>
      </c>
      <c r="B1129" s="79">
        <f>YEAR(Table6[[#This Row],[Date]])+IF(MONTH(Table6[[#This Row],[Date]])&gt;=4,1,0)</f>
        <v>2026</v>
      </c>
      <c r="C1129" s="79">
        <f>YEAR(Table6[[#This Row],[Date]])</f>
        <v>2025</v>
      </c>
      <c r="D1129" s="79" t="s">
        <v>344</v>
      </c>
      <c r="E1129" s="284">
        <f>Table6[[#This Row],[Date]]-DAY(Table6[[#This Row],[Date]])+1</f>
        <v>45839</v>
      </c>
      <c r="F1129" s="285">
        <v>45863</v>
      </c>
      <c r="G1129" s="79" t="s">
        <v>81</v>
      </c>
      <c r="H1129" s="79" t="str">
        <f>IFERROR(_xlfn.XLOOKUP(Table6[[#This Row],[Affected Feeder ]],'Basic Data'!$A:$A,'Basic Data'!$B:$B),"")</f>
        <v>PWEPL</v>
      </c>
      <c r="I1129" s="79" t="str">
        <f>IFERROR(_xlfn.XLOOKUP(Table6[[#This Row],[Affected Feeder ]],'Basic Data'!$A:$A,'Basic Data'!$C:$C),"")</f>
        <v>MSEDCL</v>
      </c>
      <c r="J1129" s="295">
        <f>IFERROR(_xlfn.XLOOKUP(Table6[[#This Row],[Affected Feeder ]],'Basic Data'!$A:$A,'Basic Data'!$E:$E),"")</f>
        <v>2.2727272727272728E-2</v>
      </c>
      <c r="K1129" s="296" t="s">
        <v>909</v>
      </c>
      <c r="L1129" s="297">
        <v>0.37847222222222227</v>
      </c>
      <c r="M1129" s="297">
        <v>0.37847222222222227</v>
      </c>
      <c r="N1129" s="297">
        <v>0.4069444444444445</v>
      </c>
      <c r="O1129" s="298">
        <f>(Table6[[#This Row],[Work Start TimeStamp]]-Table6[[#This Row],[Fault Start TimeStamp]])*24</f>
        <v>0</v>
      </c>
      <c r="P1129" s="298">
        <f>(Table6[[#This Row],[Fault Clearance time]]-Table6[[#This Row],[Fault Start TimeStamp]])*24</f>
        <v>0.68333333333333357</v>
      </c>
      <c r="Q1129" s="298">
        <f>(Table6[[#This Row],[Fault Clearance time]]-Table6[[#This Row],[Fault Start TimeStamp]])*24</f>
        <v>0.68333333333333357</v>
      </c>
      <c r="R1129" s="79" t="s">
        <v>353</v>
      </c>
      <c r="S1129" s="79" t="s">
        <v>339</v>
      </c>
      <c r="T1129" s="298">
        <f>IFERROR(Table6[[#This Row],[Breakdown Time]]*Table6[[#This Row],[Plant Equivalent Weightage]],"")</f>
        <v>1.5530303030303037E-2</v>
      </c>
      <c r="U1129" s="79" t="s">
        <v>421</v>
      </c>
      <c r="W1129" s="79">
        <v>3493</v>
      </c>
    </row>
    <row r="1130" spans="1:23">
      <c r="A1130" s="79">
        <f t="shared" si="17"/>
        <v>1129</v>
      </c>
      <c r="B1130" s="79">
        <f>YEAR(Table6[[#This Row],[Date]])+IF(MONTH(Table6[[#This Row],[Date]])&gt;=4,1,0)</f>
        <v>2026</v>
      </c>
      <c r="C1130" s="79">
        <f>YEAR(Table6[[#This Row],[Date]])</f>
        <v>2025</v>
      </c>
      <c r="D1130" s="79" t="s">
        <v>344</v>
      </c>
      <c r="E1130" s="284">
        <f>Table6[[#This Row],[Date]]-DAY(Table6[[#This Row],[Date]])+1</f>
        <v>45839</v>
      </c>
      <c r="F1130" s="285">
        <v>45863</v>
      </c>
      <c r="G1130" s="79" t="s">
        <v>81</v>
      </c>
      <c r="H1130" s="79" t="str">
        <f>IFERROR(_xlfn.XLOOKUP(Table6[[#This Row],[Affected Feeder ]],'Basic Data'!$A:$A,'Basic Data'!$B:$B),"")</f>
        <v>PWEPL</v>
      </c>
      <c r="I1130" s="79" t="str">
        <f>IFERROR(_xlfn.XLOOKUP(Table6[[#This Row],[Affected Feeder ]],'Basic Data'!$A:$A,'Basic Data'!$C:$C),"")</f>
        <v>MSEDCL</v>
      </c>
      <c r="J1130" s="295">
        <f>IFERROR(_xlfn.XLOOKUP(Table6[[#This Row],[Affected Feeder ]],'Basic Data'!$A:$A,'Basic Data'!$E:$E),"")</f>
        <v>2.2727272727272728E-2</v>
      </c>
      <c r="K1130" s="296" t="s">
        <v>171</v>
      </c>
      <c r="L1130" s="297">
        <v>0.4069444444444445</v>
      </c>
      <c r="M1130" s="297">
        <v>0.4069444444444445</v>
      </c>
      <c r="N1130" s="297">
        <v>0.41666666666666669</v>
      </c>
      <c r="O1130" s="298">
        <f>(Table6[[#This Row],[Work Start TimeStamp]]-Table6[[#This Row],[Fault Start TimeStamp]])*24</f>
        <v>0</v>
      </c>
      <c r="P1130" s="298">
        <f>(Table6[[#This Row],[Fault Clearance time]]-Table6[[#This Row],[Fault Start TimeStamp]])*24</f>
        <v>0.2333333333333325</v>
      </c>
      <c r="Q1130" s="298">
        <f>(Table6[[#This Row],[Fault Clearance time]]-Table6[[#This Row],[Fault Start TimeStamp]])*24</f>
        <v>0.2333333333333325</v>
      </c>
      <c r="R1130" s="79" t="s">
        <v>353</v>
      </c>
      <c r="S1130" s="79" t="s">
        <v>339</v>
      </c>
      <c r="T1130" s="298">
        <f>IFERROR(Table6[[#This Row],[Breakdown Time]]*Table6[[#This Row],[Plant Equivalent Weightage]],"")</f>
        <v>5.3030303030302843E-3</v>
      </c>
      <c r="U1130" s="79" t="s">
        <v>421</v>
      </c>
      <c r="W1130" s="79">
        <v>325</v>
      </c>
    </row>
    <row r="1131" spans="1:23">
      <c r="A1131" s="79">
        <f t="shared" si="17"/>
        <v>1130</v>
      </c>
      <c r="B1131" s="79">
        <f>YEAR(Table6[[#This Row],[Date]])+IF(MONTH(Table6[[#This Row],[Date]])&gt;=4,1,0)</f>
        <v>2026</v>
      </c>
      <c r="C1131" s="79">
        <f>YEAR(Table6[[#This Row],[Date]])</f>
        <v>2025</v>
      </c>
      <c r="D1131" s="79" t="s">
        <v>344</v>
      </c>
      <c r="E1131" s="284">
        <f>Table6[[#This Row],[Date]]-DAY(Table6[[#This Row],[Date]])+1</f>
        <v>45839</v>
      </c>
      <c r="F1131" s="285">
        <v>45863</v>
      </c>
      <c r="G1131" s="79" t="s">
        <v>107</v>
      </c>
      <c r="H1131" s="79" t="str">
        <f>IFERROR(_xlfn.XLOOKUP(Table6[[#This Row],[Affected Feeder ]],'Basic Data'!$A:$A,'Basic Data'!$B:$B),"")</f>
        <v>PWEPL</v>
      </c>
      <c r="I1131" s="79" t="str">
        <f>IFERROR(_xlfn.XLOOKUP(Table6[[#This Row],[Affected Feeder ]],'Basic Data'!$A:$A,'Basic Data'!$C:$C),"")</f>
        <v>MSEDCL</v>
      </c>
      <c r="J1131" s="295">
        <f>IFERROR(_xlfn.XLOOKUP(Table6[[#This Row],[Affected Feeder ]],'Basic Data'!$A:$A,'Basic Data'!$E:$E),"")</f>
        <v>2.2727272727272728E-2</v>
      </c>
      <c r="K1131" s="296" t="s">
        <v>909</v>
      </c>
      <c r="L1131" s="297">
        <v>0.37847222222222227</v>
      </c>
      <c r="M1131" s="297">
        <v>0.37847222222222227</v>
      </c>
      <c r="N1131" s="297">
        <v>0.4069444444444445</v>
      </c>
      <c r="O1131" s="298">
        <f>(Table6[[#This Row],[Work Start TimeStamp]]-Table6[[#This Row],[Fault Start TimeStamp]])*24</f>
        <v>0</v>
      </c>
      <c r="P1131" s="298">
        <f>(Table6[[#This Row],[Fault Clearance time]]-Table6[[#This Row],[Fault Start TimeStamp]])*24</f>
        <v>0.68333333333333357</v>
      </c>
      <c r="Q1131" s="298">
        <f>(Table6[[#This Row],[Fault Clearance time]]-Table6[[#This Row],[Fault Start TimeStamp]])*24</f>
        <v>0.68333333333333357</v>
      </c>
      <c r="R1131" s="79" t="s">
        <v>353</v>
      </c>
      <c r="S1131" s="79" t="s">
        <v>339</v>
      </c>
      <c r="T1131" s="298">
        <f>IFERROR(Table6[[#This Row],[Breakdown Time]]*Table6[[#This Row],[Plant Equivalent Weightage]],"")</f>
        <v>1.5530303030303037E-2</v>
      </c>
      <c r="U1131" s="79" t="s">
        <v>421</v>
      </c>
      <c r="W1131" s="79">
        <v>3423</v>
      </c>
    </row>
    <row r="1132" spans="1:23">
      <c r="A1132" s="79">
        <f t="shared" si="17"/>
        <v>1131</v>
      </c>
      <c r="B1132" s="79">
        <f>YEAR(Table6[[#This Row],[Date]])+IF(MONTH(Table6[[#This Row],[Date]])&gt;=4,1,0)</f>
        <v>2026</v>
      </c>
      <c r="C1132" s="79">
        <f>YEAR(Table6[[#This Row],[Date]])</f>
        <v>2025</v>
      </c>
      <c r="D1132" s="79" t="s">
        <v>344</v>
      </c>
      <c r="E1132" s="284">
        <f>Table6[[#This Row],[Date]]-DAY(Table6[[#This Row],[Date]])+1</f>
        <v>45839</v>
      </c>
      <c r="F1132" s="285">
        <v>45863</v>
      </c>
      <c r="G1132" s="79" t="s">
        <v>107</v>
      </c>
      <c r="H1132" s="79" t="str">
        <f>IFERROR(_xlfn.XLOOKUP(Table6[[#This Row],[Affected Feeder ]],'Basic Data'!$A:$A,'Basic Data'!$B:$B),"")</f>
        <v>PWEPL</v>
      </c>
      <c r="I1132" s="79" t="str">
        <f>IFERROR(_xlfn.XLOOKUP(Table6[[#This Row],[Affected Feeder ]],'Basic Data'!$A:$A,'Basic Data'!$C:$C),"")</f>
        <v>MSEDCL</v>
      </c>
      <c r="J1132" s="295">
        <f>IFERROR(_xlfn.XLOOKUP(Table6[[#This Row],[Affected Feeder ]],'Basic Data'!$A:$A,'Basic Data'!$E:$E),"")</f>
        <v>2.2727272727272728E-2</v>
      </c>
      <c r="K1132" s="296" t="s">
        <v>171</v>
      </c>
      <c r="L1132" s="297">
        <v>0.4069444444444445</v>
      </c>
      <c r="M1132" s="297">
        <v>0.4069444444444445</v>
      </c>
      <c r="N1132" s="297">
        <v>0.41875000000000001</v>
      </c>
      <c r="O1132" s="298">
        <f>(Table6[[#This Row],[Work Start TimeStamp]]-Table6[[#This Row],[Fault Start TimeStamp]])*24</f>
        <v>0</v>
      </c>
      <c r="P1132" s="298">
        <f>(Table6[[#This Row],[Fault Clearance time]]-Table6[[#This Row],[Fault Start TimeStamp]])*24</f>
        <v>0.28333333333333233</v>
      </c>
      <c r="Q1132" s="298">
        <f>(Table6[[#This Row],[Fault Clearance time]]-Table6[[#This Row],[Fault Start TimeStamp]])*24</f>
        <v>0.28333333333333233</v>
      </c>
      <c r="R1132" s="79" t="s">
        <v>353</v>
      </c>
      <c r="S1132" s="79" t="s">
        <v>339</v>
      </c>
      <c r="T1132" s="298">
        <f>IFERROR(Table6[[#This Row],[Breakdown Time]]*Table6[[#This Row],[Plant Equivalent Weightage]],"")</f>
        <v>6.4393939393939167E-3</v>
      </c>
      <c r="U1132" s="79" t="s">
        <v>421</v>
      </c>
      <c r="W1132" s="79">
        <v>395</v>
      </c>
    </row>
    <row r="1133" spans="1:23">
      <c r="A1133" s="79">
        <f t="shared" si="17"/>
        <v>1132</v>
      </c>
      <c r="B1133" s="79">
        <f>YEAR(Table6[[#This Row],[Date]])+IF(MONTH(Table6[[#This Row],[Date]])&gt;=4,1,0)</f>
        <v>2026</v>
      </c>
      <c r="C1133" s="79">
        <f>YEAR(Table6[[#This Row],[Date]])</f>
        <v>2025</v>
      </c>
      <c r="D1133" s="79" t="s">
        <v>344</v>
      </c>
      <c r="E1133" s="284">
        <f>Table6[[#This Row],[Date]]-DAY(Table6[[#This Row],[Date]])+1</f>
        <v>45839</v>
      </c>
      <c r="F1133" s="285">
        <v>45863</v>
      </c>
      <c r="G1133" s="79" t="s">
        <v>108</v>
      </c>
      <c r="H1133" s="79" t="str">
        <f>IFERROR(_xlfn.XLOOKUP(Table6[[#This Row],[Affected Feeder ]],'Basic Data'!$A:$A,'Basic Data'!$B:$B),"")</f>
        <v>PWEPL</v>
      </c>
      <c r="I1133" s="79" t="str">
        <f>IFERROR(_xlfn.XLOOKUP(Table6[[#This Row],[Affected Feeder ]],'Basic Data'!$A:$A,'Basic Data'!$C:$C),"")</f>
        <v>MSEDCL</v>
      </c>
      <c r="J1133" s="295">
        <f>IFERROR(_xlfn.XLOOKUP(Table6[[#This Row],[Affected Feeder ]],'Basic Data'!$A:$A,'Basic Data'!$E:$E),"")</f>
        <v>2.2727272727272728E-2</v>
      </c>
      <c r="K1133" s="296" t="s">
        <v>909</v>
      </c>
      <c r="L1133" s="297">
        <v>0.37847222222222227</v>
      </c>
      <c r="M1133" s="297">
        <v>0.37847222222222227</v>
      </c>
      <c r="N1133" s="297">
        <v>0.4069444444444445</v>
      </c>
      <c r="O1133" s="298">
        <f>(Table6[[#This Row],[Work Start TimeStamp]]-Table6[[#This Row],[Fault Start TimeStamp]])*24</f>
        <v>0</v>
      </c>
      <c r="P1133" s="298">
        <f>(Table6[[#This Row],[Fault Clearance time]]-Table6[[#This Row],[Fault Start TimeStamp]])*24</f>
        <v>0.68333333333333357</v>
      </c>
      <c r="Q1133" s="298">
        <f>(Table6[[#This Row],[Fault Clearance time]]-Table6[[#This Row],[Fault Start TimeStamp]])*24</f>
        <v>0.68333333333333357</v>
      </c>
      <c r="R1133" s="79" t="s">
        <v>353</v>
      </c>
      <c r="S1133" s="79" t="s">
        <v>339</v>
      </c>
      <c r="T1133" s="298">
        <f>IFERROR(Table6[[#This Row],[Breakdown Time]]*Table6[[#This Row],[Plant Equivalent Weightage]],"")</f>
        <v>1.5530303030303037E-2</v>
      </c>
      <c r="U1133" s="79" t="s">
        <v>421</v>
      </c>
      <c r="W1133" s="79">
        <v>3423</v>
      </c>
    </row>
    <row r="1134" spans="1:23">
      <c r="A1134" s="79">
        <f t="shared" si="17"/>
        <v>1133</v>
      </c>
      <c r="B1134" s="79">
        <f>YEAR(Table6[[#This Row],[Date]])+IF(MONTH(Table6[[#This Row],[Date]])&gt;=4,1,0)</f>
        <v>2026</v>
      </c>
      <c r="C1134" s="79">
        <f>YEAR(Table6[[#This Row],[Date]])</f>
        <v>2025</v>
      </c>
      <c r="D1134" s="79" t="s">
        <v>344</v>
      </c>
      <c r="E1134" s="284">
        <f>Table6[[#This Row],[Date]]-DAY(Table6[[#This Row],[Date]])+1</f>
        <v>45839</v>
      </c>
      <c r="F1134" s="285">
        <v>45863</v>
      </c>
      <c r="G1134" s="79" t="s">
        <v>108</v>
      </c>
      <c r="H1134" s="79" t="str">
        <f>IFERROR(_xlfn.XLOOKUP(Table6[[#This Row],[Affected Feeder ]],'Basic Data'!$A:$A,'Basic Data'!$B:$B),"")</f>
        <v>PWEPL</v>
      </c>
      <c r="I1134" s="79" t="str">
        <f>IFERROR(_xlfn.XLOOKUP(Table6[[#This Row],[Affected Feeder ]],'Basic Data'!$A:$A,'Basic Data'!$C:$C),"")</f>
        <v>MSEDCL</v>
      </c>
      <c r="J1134" s="295">
        <f>IFERROR(_xlfn.XLOOKUP(Table6[[#This Row],[Affected Feeder ]],'Basic Data'!$A:$A,'Basic Data'!$E:$E),"")</f>
        <v>2.2727272727272728E-2</v>
      </c>
      <c r="K1134" s="296" t="s">
        <v>171</v>
      </c>
      <c r="L1134" s="297">
        <v>0.4069444444444445</v>
      </c>
      <c r="M1134" s="297">
        <v>0.4069444444444445</v>
      </c>
      <c r="N1134" s="297">
        <v>0.41875000000000001</v>
      </c>
      <c r="O1134" s="298">
        <f>(Table6[[#This Row],[Work Start TimeStamp]]-Table6[[#This Row],[Fault Start TimeStamp]])*24</f>
        <v>0</v>
      </c>
      <c r="P1134" s="298">
        <f>(Table6[[#This Row],[Fault Clearance time]]-Table6[[#This Row],[Fault Start TimeStamp]])*24</f>
        <v>0.28333333333333233</v>
      </c>
      <c r="Q1134" s="298">
        <f>(Table6[[#This Row],[Fault Clearance time]]-Table6[[#This Row],[Fault Start TimeStamp]])*24</f>
        <v>0.28333333333333233</v>
      </c>
      <c r="R1134" s="79" t="s">
        <v>353</v>
      </c>
      <c r="S1134" s="79" t="s">
        <v>339</v>
      </c>
      <c r="T1134" s="298">
        <f>IFERROR(Table6[[#This Row],[Breakdown Time]]*Table6[[#This Row],[Plant Equivalent Weightage]],"")</f>
        <v>6.4393939393939167E-3</v>
      </c>
      <c r="U1134" s="79" t="s">
        <v>421</v>
      </c>
      <c r="W1134" s="79">
        <v>395</v>
      </c>
    </row>
    <row r="1135" spans="1:23">
      <c r="A1135" s="79">
        <f t="shared" si="17"/>
        <v>1134</v>
      </c>
      <c r="B1135" s="79">
        <f>YEAR(Table6[[#This Row],[Date]])+IF(MONTH(Table6[[#This Row],[Date]])&gt;=4,1,0)</f>
        <v>2026</v>
      </c>
      <c r="C1135" s="79">
        <f>YEAR(Table6[[#This Row],[Date]])</f>
        <v>2025</v>
      </c>
      <c r="D1135" s="79" t="s">
        <v>344</v>
      </c>
      <c r="E1135" s="284">
        <f>Table6[[#This Row],[Date]]-DAY(Table6[[#This Row],[Date]])+1</f>
        <v>45839</v>
      </c>
      <c r="F1135" s="285">
        <v>45863</v>
      </c>
      <c r="G1135" s="79" t="s">
        <v>111</v>
      </c>
      <c r="H1135" s="79" t="str">
        <f>IFERROR(_xlfn.XLOOKUP(Table6[[#This Row],[Affected Feeder ]],'Basic Data'!$A:$A,'Basic Data'!$B:$B),"")</f>
        <v>PWEPL</v>
      </c>
      <c r="I1135" s="79" t="str">
        <f>IFERROR(_xlfn.XLOOKUP(Table6[[#This Row],[Affected Feeder ]],'Basic Data'!$A:$A,'Basic Data'!$C:$C),"")</f>
        <v>MSEDCL</v>
      </c>
      <c r="J1135" s="295">
        <f>IFERROR(_xlfn.XLOOKUP(Table6[[#This Row],[Affected Feeder ]],'Basic Data'!$A:$A,'Basic Data'!$E:$E),"")</f>
        <v>2.2727272727272728E-2</v>
      </c>
      <c r="K1135" s="296" t="s">
        <v>796</v>
      </c>
      <c r="L1135" s="297">
        <v>0.7895833333333333</v>
      </c>
      <c r="M1135" s="297">
        <v>0.7895833333333333</v>
      </c>
      <c r="N1135" s="297">
        <v>0.90277777777777779</v>
      </c>
      <c r="O1135" s="298">
        <f>(Table6[[#This Row],[Work Start TimeStamp]]-Table6[[#This Row],[Fault Start TimeStamp]])*24</f>
        <v>0</v>
      </c>
      <c r="P1135" s="298">
        <f>(Table6[[#This Row],[Fault Clearance time]]-Table6[[#This Row],[Fault Start TimeStamp]])*24</f>
        <v>2.7166666666666677</v>
      </c>
      <c r="Q1135" s="298">
        <f>(Table6[[#This Row],[Fault Clearance time]]-Table6[[#This Row],[Fault Start TimeStamp]])*24</f>
        <v>2.7166666666666677</v>
      </c>
      <c r="R1135" s="79" t="s">
        <v>424</v>
      </c>
      <c r="S1135" s="79" t="s">
        <v>339</v>
      </c>
      <c r="T1135" s="298">
        <f>IFERROR(Table6[[#This Row],[Breakdown Time]]*Table6[[#This Row],[Plant Equivalent Weightage]],"")</f>
        <v>6.1742424242424265E-2</v>
      </c>
      <c r="U1135" s="79" t="s">
        <v>421</v>
      </c>
      <c r="W1135" s="79">
        <v>4434</v>
      </c>
    </row>
    <row r="1136" spans="1:23">
      <c r="A1136" s="79">
        <f t="shared" si="17"/>
        <v>1135</v>
      </c>
      <c r="B1136" s="79">
        <f>YEAR(Table6[[#This Row],[Date]])+IF(MONTH(Table6[[#This Row],[Date]])&gt;=4,1,0)</f>
        <v>2026</v>
      </c>
      <c r="C1136" s="79">
        <f>YEAR(Table6[[#This Row],[Date]])</f>
        <v>2025</v>
      </c>
      <c r="D1136" s="79" t="s">
        <v>344</v>
      </c>
      <c r="E1136" s="284">
        <f>Table6[[#This Row],[Date]]-DAY(Table6[[#This Row],[Date]])+1</f>
        <v>45839</v>
      </c>
      <c r="F1136" s="285">
        <v>45863</v>
      </c>
      <c r="G1136" s="79" t="s">
        <v>111</v>
      </c>
      <c r="H1136" s="79" t="str">
        <f>IFERROR(_xlfn.XLOOKUP(Table6[[#This Row],[Affected Feeder ]],'Basic Data'!$A:$A,'Basic Data'!$B:$B),"")</f>
        <v>PWEPL</v>
      </c>
      <c r="I1136" s="79" t="str">
        <f>IFERROR(_xlfn.XLOOKUP(Table6[[#This Row],[Affected Feeder ]],'Basic Data'!$A:$A,'Basic Data'!$C:$C),"")</f>
        <v>MSEDCL</v>
      </c>
      <c r="J1136" s="295">
        <f>IFERROR(_xlfn.XLOOKUP(Table6[[#This Row],[Affected Feeder ]],'Basic Data'!$A:$A,'Basic Data'!$E:$E),"")</f>
        <v>2.2727272727272728E-2</v>
      </c>
      <c r="K1136" s="296" t="s">
        <v>171</v>
      </c>
      <c r="L1136" s="297">
        <v>0.90277777777777779</v>
      </c>
      <c r="M1136" s="297">
        <v>0.90277777777777779</v>
      </c>
      <c r="N1136" s="297">
        <v>0.91666666666666663</v>
      </c>
      <c r="O1136" s="298">
        <f>(Table6[[#This Row],[Work Start TimeStamp]]-Table6[[#This Row],[Fault Start TimeStamp]])*24</f>
        <v>0</v>
      </c>
      <c r="P1136" s="298">
        <f>(Table6[[#This Row],[Fault Clearance time]]-Table6[[#This Row],[Fault Start TimeStamp]])*24</f>
        <v>0.33333333333333215</v>
      </c>
      <c r="Q1136" s="298">
        <f>(Table6[[#This Row],[Fault Clearance time]]-Table6[[#This Row],[Fault Start TimeStamp]])*24</f>
        <v>0.33333333333333215</v>
      </c>
      <c r="R1136" s="79" t="s">
        <v>353</v>
      </c>
      <c r="S1136" s="79" t="s">
        <v>339</v>
      </c>
      <c r="T1136" s="298">
        <f>IFERROR(Table6[[#This Row],[Breakdown Time]]*Table6[[#This Row],[Plant Equivalent Weightage]],"")</f>
        <v>7.5757575757575491E-3</v>
      </c>
      <c r="U1136" s="79" t="s">
        <v>421</v>
      </c>
      <c r="W1136" s="79">
        <v>544</v>
      </c>
    </row>
    <row r="1137" spans="1:23">
      <c r="A1137" s="79">
        <f t="shared" si="17"/>
        <v>1136</v>
      </c>
      <c r="B1137" s="79">
        <f>YEAR(Table6[[#This Row],[Date]])+IF(MONTH(Table6[[#This Row],[Date]])&gt;=4,1,0)</f>
        <v>2026</v>
      </c>
      <c r="C1137" s="79">
        <f>YEAR(Table6[[#This Row],[Date]])</f>
        <v>2025</v>
      </c>
      <c r="D1137" s="79" t="s">
        <v>344</v>
      </c>
      <c r="E1137" s="284">
        <f>Table6[[#This Row],[Date]]-DAY(Table6[[#This Row],[Date]])+1</f>
        <v>45839</v>
      </c>
      <c r="F1137" s="285">
        <v>45863</v>
      </c>
      <c r="G1137" s="79" t="s">
        <v>112</v>
      </c>
      <c r="H1137" s="79" t="str">
        <f>IFERROR(_xlfn.XLOOKUP(Table6[[#This Row],[Affected Feeder ]],'Basic Data'!$A:$A,'Basic Data'!$B:$B),"")</f>
        <v>PWEPL</v>
      </c>
      <c r="I1137" s="79" t="str">
        <f>IFERROR(_xlfn.XLOOKUP(Table6[[#This Row],[Affected Feeder ]],'Basic Data'!$A:$A,'Basic Data'!$C:$C),"")</f>
        <v>MSEDCL</v>
      </c>
      <c r="J1137" s="295">
        <f>IFERROR(_xlfn.XLOOKUP(Table6[[#This Row],[Affected Feeder ]],'Basic Data'!$A:$A,'Basic Data'!$E:$E),"")</f>
        <v>2.2727272727272728E-2</v>
      </c>
      <c r="K1137" s="296" t="s">
        <v>796</v>
      </c>
      <c r="L1137" s="297">
        <v>0.7895833333333333</v>
      </c>
      <c r="M1137" s="297">
        <v>0.7895833333333333</v>
      </c>
      <c r="N1137" s="297">
        <v>0.91527777777777775</v>
      </c>
      <c r="O1137" s="298">
        <f>(Table6[[#This Row],[Work Start TimeStamp]]-Table6[[#This Row],[Fault Start TimeStamp]])*24</f>
        <v>0</v>
      </c>
      <c r="P1137" s="298">
        <f>(Table6[[#This Row],[Fault Clearance time]]-Table6[[#This Row],[Fault Start TimeStamp]])*24</f>
        <v>3.0166666666666666</v>
      </c>
      <c r="Q1137" s="298">
        <f>(Table6[[#This Row],[Fault Clearance time]]-Table6[[#This Row],[Fault Start TimeStamp]])*24</f>
        <v>3.0166666666666666</v>
      </c>
      <c r="R1137" s="79" t="s">
        <v>424</v>
      </c>
      <c r="S1137" s="79" t="s">
        <v>339</v>
      </c>
      <c r="T1137" s="298">
        <f>IFERROR(Table6[[#This Row],[Breakdown Time]]*Table6[[#This Row],[Plant Equivalent Weightage]],"")</f>
        <v>6.8560606060606058E-2</v>
      </c>
      <c r="U1137" s="79" t="s">
        <v>421</v>
      </c>
      <c r="W1137" s="79">
        <v>496</v>
      </c>
    </row>
    <row r="1138" spans="1:23">
      <c r="A1138" s="79">
        <f t="shared" si="17"/>
        <v>1137</v>
      </c>
      <c r="B1138" s="79">
        <f>YEAR(Table6[[#This Row],[Date]])+IF(MONTH(Table6[[#This Row],[Date]])&gt;=4,1,0)</f>
        <v>2026</v>
      </c>
      <c r="C1138" s="79">
        <f>YEAR(Table6[[#This Row],[Date]])</f>
        <v>2025</v>
      </c>
      <c r="D1138" s="79" t="s">
        <v>344</v>
      </c>
      <c r="E1138" s="284">
        <f>Table6[[#This Row],[Date]]-DAY(Table6[[#This Row],[Date]])+1</f>
        <v>45839</v>
      </c>
      <c r="F1138" s="285">
        <v>45863</v>
      </c>
      <c r="G1138" s="79" t="s">
        <v>112</v>
      </c>
      <c r="H1138" s="79" t="str">
        <f>IFERROR(_xlfn.XLOOKUP(Table6[[#This Row],[Affected Feeder ]],'Basic Data'!$A:$A,'Basic Data'!$B:$B),"")</f>
        <v>PWEPL</v>
      </c>
      <c r="I1138" s="79" t="str">
        <f>IFERROR(_xlfn.XLOOKUP(Table6[[#This Row],[Affected Feeder ]],'Basic Data'!$A:$A,'Basic Data'!$C:$C),"")</f>
        <v>MSEDCL</v>
      </c>
      <c r="J1138" s="295">
        <f>IFERROR(_xlfn.XLOOKUP(Table6[[#This Row],[Affected Feeder ]],'Basic Data'!$A:$A,'Basic Data'!$E:$E),"")</f>
        <v>2.2727272727272728E-2</v>
      </c>
      <c r="K1138" s="296" t="s">
        <v>171</v>
      </c>
      <c r="L1138" s="297">
        <v>0.91527777777777775</v>
      </c>
      <c r="M1138" s="297">
        <v>0.91527777777777775</v>
      </c>
      <c r="N1138" s="297">
        <v>0.9291666666666667</v>
      </c>
      <c r="O1138" s="298">
        <f>(Table6[[#This Row],[Work Start TimeStamp]]-Table6[[#This Row],[Fault Start TimeStamp]])*24</f>
        <v>0</v>
      </c>
      <c r="P1138" s="298">
        <f>(Table6[[#This Row],[Fault Clearance time]]-Table6[[#This Row],[Fault Start TimeStamp]])*24</f>
        <v>0.33333333333333481</v>
      </c>
      <c r="Q1138" s="298">
        <f>(Table6[[#This Row],[Fault Clearance time]]-Table6[[#This Row],[Fault Start TimeStamp]])*24</f>
        <v>0.33333333333333481</v>
      </c>
      <c r="R1138" s="79" t="s">
        <v>353</v>
      </c>
      <c r="S1138" s="79" t="s">
        <v>339</v>
      </c>
      <c r="T1138" s="298">
        <f>IFERROR(Table6[[#This Row],[Breakdown Time]]*Table6[[#This Row],[Plant Equivalent Weightage]],"")</f>
        <v>7.5757575757576098E-3</v>
      </c>
      <c r="U1138" s="79" t="s">
        <v>421</v>
      </c>
      <c r="W1138" s="79">
        <v>54</v>
      </c>
    </row>
    <row r="1139" spans="1:23">
      <c r="A1139" s="79">
        <f t="shared" si="17"/>
        <v>1138</v>
      </c>
      <c r="B1139" s="79">
        <f>YEAR(Table6[[#This Row],[Date]])+IF(MONTH(Table6[[#This Row],[Date]])&gt;=4,1,0)</f>
        <v>2026</v>
      </c>
      <c r="C1139" s="79">
        <f>YEAR(Table6[[#This Row],[Date]])</f>
        <v>2025</v>
      </c>
      <c r="D1139" s="79" t="s">
        <v>344</v>
      </c>
      <c r="E1139" s="284">
        <f>Table6[[#This Row],[Date]]-DAY(Table6[[#This Row],[Date]])+1</f>
        <v>45839</v>
      </c>
      <c r="F1139" s="285">
        <v>45863</v>
      </c>
      <c r="G1139" s="79" t="s">
        <v>404</v>
      </c>
      <c r="H1139" s="79" t="str">
        <f>IFERROR(_xlfn.XLOOKUP(Table6[[#This Row],[Affected Feeder ]],'Basic Data'!$A:$A,'Basic Data'!$B:$B),"")</f>
        <v>PWEPL</v>
      </c>
      <c r="I1139" s="79" t="str">
        <f>IFERROR(_xlfn.XLOOKUP(Table6[[#This Row],[Affected Feeder ]],'Basic Data'!$A:$A,'Basic Data'!$C:$C),"")</f>
        <v>MSEDCL</v>
      </c>
      <c r="J1139" s="295">
        <f>IFERROR(_xlfn.XLOOKUP(Table6[[#This Row],[Affected Feeder ]],'Basic Data'!$A:$A,'Basic Data'!$E:$E),"")</f>
        <v>0.27272727272727276</v>
      </c>
      <c r="K1139" s="296" t="s">
        <v>419</v>
      </c>
      <c r="L1139" s="297">
        <v>0.7895833333333333</v>
      </c>
      <c r="M1139" s="297">
        <v>0.7895833333333333</v>
      </c>
      <c r="N1139" s="297">
        <v>0.81874999999999998</v>
      </c>
      <c r="O1139" s="298">
        <f>(Table6[[#This Row],[Work Start TimeStamp]]-Table6[[#This Row],[Fault Start TimeStamp]])*24</f>
        <v>0</v>
      </c>
      <c r="P1139" s="298">
        <f>(Table6[[#This Row],[Fault Clearance time]]-Table6[[#This Row],[Fault Start TimeStamp]])*24</f>
        <v>0.70000000000000018</v>
      </c>
      <c r="Q1139" s="298">
        <f>(Table6[[#This Row],[Fault Clearance time]]-Table6[[#This Row],[Fault Start TimeStamp]])*24</f>
        <v>0.70000000000000018</v>
      </c>
      <c r="R1139" s="79" t="s">
        <v>420</v>
      </c>
      <c r="S1139" s="79" t="s">
        <v>339</v>
      </c>
      <c r="T1139" s="298">
        <f>IFERROR(Table6[[#This Row],[Breakdown Time]]*Table6[[#This Row],[Plant Equivalent Weightage]],"")</f>
        <v>0.19090909090909097</v>
      </c>
      <c r="U1139" s="79" t="s">
        <v>421</v>
      </c>
      <c r="W1139" s="79">
        <v>12054</v>
      </c>
    </row>
    <row r="1140" spans="1:23">
      <c r="A1140" s="79">
        <f t="shared" si="17"/>
        <v>1139</v>
      </c>
      <c r="B1140" s="79">
        <f>YEAR(Table6[[#This Row],[Date]])+IF(MONTH(Table6[[#This Row],[Date]])&gt;=4,1,0)</f>
        <v>2026</v>
      </c>
      <c r="C1140" s="79">
        <f>YEAR(Table6[[#This Row],[Date]])</f>
        <v>2025</v>
      </c>
      <c r="D1140" s="79" t="s">
        <v>344</v>
      </c>
      <c r="E1140" s="284">
        <f>Table6[[#This Row],[Date]]-DAY(Table6[[#This Row],[Date]])+1</f>
        <v>45839</v>
      </c>
      <c r="F1140" s="285">
        <v>45863</v>
      </c>
      <c r="G1140" s="79" t="s">
        <v>89</v>
      </c>
      <c r="H1140" s="79" t="str">
        <f>IFERROR(_xlfn.XLOOKUP(Table6[[#This Row],[Affected Feeder ]],'Basic Data'!$A:$A,'Basic Data'!$B:$B),"")</f>
        <v>PWEPL</v>
      </c>
      <c r="I1140" s="79" t="str">
        <f>IFERROR(_xlfn.XLOOKUP(Table6[[#This Row],[Affected Feeder ]],'Basic Data'!$A:$A,'Basic Data'!$C:$C),"")</f>
        <v>MSEDCL</v>
      </c>
      <c r="J1140" s="295">
        <f>IFERROR(_xlfn.XLOOKUP(Table6[[#This Row],[Affected Feeder ]],'Basic Data'!$A:$A,'Basic Data'!$E:$E),"")</f>
        <v>2.2727272727272728E-2</v>
      </c>
      <c r="K1140" s="296" t="s">
        <v>171</v>
      </c>
      <c r="L1140" s="297">
        <v>0.81874999999999998</v>
      </c>
      <c r="M1140" s="297">
        <v>0.81874999999999998</v>
      </c>
      <c r="N1140" s="297">
        <v>0.82638888888888884</v>
      </c>
      <c r="O1140" s="298">
        <f>(Table6[[#This Row],[Work Start TimeStamp]]-Table6[[#This Row],[Fault Start TimeStamp]])*24</f>
        <v>0</v>
      </c>
      <c r="P1140" s="298">
        <f>(Table6[[#This Row],[Fault Clearance time]]-Table6[[#This Row],[Fault Start TimeStamp]])*24</f>
        <v>0.18333333333333268</v>
      </c>
      <c r="Q1140" s="298">
        <f>(Table6[[#This Row],[Fault Clearance time]]-Table6[[#This Row],[Fault Start TimeStamp]])*24</f>
        <v>0.18333333333333268</v>
      </c>
      <c r="R1140" s="79" t="s">
        <v>353</v>
      </c>
      <c r="S1140" s="79" t="s">
        <v>339</v>
      </c>
      <c r="T1140" s="298">
        <f>IFERROR(Table6[[#This Row],[Breakdown Time]]*Table6[[#This Row],[Plant Equivalent Weightage]],"")</f>
        <v>4.1666666666666519E-3</v>
      </c>
      <c r="U1140" s="79" t="s">
        <v>421</v>
      </c>
      <c r="W1140" s="79">
        <v>263</v>
      </c>
    </row>
    <row r="1141" spans="1:23">
      <c r="A1141" s="79">
        <f t="shared" si="17"/>
        <v>1140</v>
      </c>
      <c r="B1141" s="79">
        <f>YEAR(Table6[[#This Row],[Date]])+IF(MONTH(Table6[[#This Row],[Date]])&gt;=4,1,0)</f>
        <v>2026</v>
      </c>
      <c r="C1141" s="79">
        <f>YEAR(Table6[[#This Row],[Date]])</f>
        <v>2025</v>
      </c>
      <c r="D1141" s="79" t="s">
        <v>344</v>
      </c>
      <c r="E1141" s="284">
        <f>Table6[[#This Row],[Date]]-DAY(Table6[[#This Row],[Date]])+1</f>
        <v>45839</v>
      </c>
      <c r="F1141" s="285">
        <v>45863</v>
      </c>
      <c r="G1141" s="79" t="s">
        <v>90</v>
      </c>
      <c r="H1141" s="79" t="str">
        <f>IFERROR(_xlfn.XLOOKUP(Table6[[#This Row],[Affected Feeder ]],'Basic Data'!$A:$A,'Basic Data'!$B:$B),"")</f>
        <v>PWEPL</v>
      </c>
      <c r="I1141" s="79" t="str">
        <f>IFERROR(_xlfn.XLOOKUP(Table6[[#This Row],[Affected Feeder ]],'Basic Data'!$A:$A,'Basic Data'!$C:$C),"")</f>
        <v>MSEDCL</v>
      </c>
      <c r="J1141" s="295">
        <f>IFERROR(_xlfn.XLOOKUP(Table6[[#This Row],[Affected Feeder ]],'Basic Data'!$A:$A,'Basic Data'!$E:$E),"")</f>
        <v>2.2727272727272728E-2</v>
      </c>
      <c r="K1141" s="296" t="s">
        <v>171</v>
      </c>
      <c r="L1141" s="297">
        <v>0.81874999999999998</v>
      </c>
      <c r="M1141" s="297">
        <v>0.81874999999999998</v>
      </c>
      <c r="N1141" s="297">
        <v>0.83124999999999993</v>
      </c>
      <c r="O1141" s="298">
        <f>(Table6[[#This Row],[Work Start TimeStamp]]-Table6[[#This Row],[Fault Start TimeStamp]])*24</f>
        <v>0</v>
      </c>
      <c r="P1141" s="298">
        <f>(Table6[[#This Row],[Fault Clearance time]]-Table6[[#This Row],[Fault Start TimeStamp]])*24</f>
        <v>0.29999999999999893</v>
      </c>
      <c r="Q1141" s="298">
        <f>(Table6[[#This Row],[Fault Clearance time]]-Table6[[#This Row],[Fault Start TimeStamp]])*24</f>
        <v>0.29999999999999893</v>
      </c>
      <c r="R1141" s="79" t="s">
        <v>353</v>
      </c>
      <c r="S1141" s="79" t="s">
        <v>339</v>
      </c>
      <c r="T1141" s="298">
        <f>IFERROR(Table6[[#This Row],[Breakdown Time]]*Table6[[#This Row],[Plant Equivalent Weightage]],"")</f>
        <v>6.8181818181817944E-3</v>
      </c>
      <c r="U1141" s="79" t="s">
        <v>421</v>
      </c>
      <c r="W1141" s="79">
        <v>430</v>
      </c>
    </row>
    <row r="1142" spans="1:23">
      <c r="A1142" s="79">
        <f t="shared" si="17"/>
        <v>1141</v>
      </c>
      <c r="B1142" s="79">
        <f>YEAR(Table6[[#This Row],[Date]])+IF(MONTH(Table6[[#This Row],[Date]])&gt;=4,1,0)</f>
        <v>2026</v>
      </c>
      <c r="C1142" s="79">
        <f>YEAR(Table6[[#This Row],[Date]])</f>
        <v>2025</v>
      </c>
      <c r="D1142" s="79" t="s">
        <v>344</v>
      </c>
      <c r="E1142" s="284">
        <f>Table6[[#This Row],[Date]]-DAY(Table6[[#This Row],[Date]])+1</f>
        <v>45839</v>
      </c>
      <c r="F1142" s="285">
        <v>45863</v>
      </c>
      <c r="G1142" s="79" t="s">
        <v>91</v>
      </c>
      <c r="H1142" s="79" t="str">
        <f>IFERROR(_xlfn.XLOOKUP(Table6[[#This Row],[Affected Feeder ]],'Basic Data'!$A:$A,'Basic Data'!$B:$B),"")</f>
        <v>PWEPL</v>
      </c>
      <c r="I1142" s="79" t="str">
        <f>IFERROR(_xlfn.XLOOKUP(Table6[[#This Row],[Affected Feeder ]],'Basic Data'!$A:$A,'Basic Data'!$C:$C),"")</f>
        <v>MSEDCL</v>
      </c>
      <c r="J1142" s="295">
        <f>IFERROR(_xlfn.XLOOKUP(Table6[[#This Row],[Affected Feeder ]],'Basic Data'!$A:$A,'Basic Data'!$E:$E),"")</f>
        <v>2.2727272727272728E-2</v>
      </c>
      <c r="K1142" s="296" t="s">
        <v>171</v>
      </c>
      <c r="L1142" s="297">
        <v>0.81874999999999998</v>
      </c>
      <c r="M1142" s="297">
        <v>0.81874999999999998</v>
      </c>
      <c r="N1142" s="297">
        <v>0.82916666666666661</v>
      </c>
      <c r="O1142" s="298">
        <f>(Table6[[#This Row],[Work Start TimeStamp]]-Table6[[#This Row],[Fault Start TimeStamp]])*24</f>
        <v>0</v>
      </c>
      <c r="P1142" s="298">
        <f>(Table6[[#This Row],[Fault Clearance time]]-Table6[[#This Row],[Fault Start TimeStamp]])*24</f>
        <v>0.24999999999999911</v>
      </c>
      <c r="Q1142" s="298">
        <f>(Table6[[#This Row],[Fault Clearance time]]-Table6[[#This Row],[Fault Start TimeStamp]])*24</f>
        <v>0.24999999999999911</v>
      </c>
      <c r="R1142" s="79" t="s">
        <v>353</v>
      </c>
      <c r="S1142" s="79" t="s">
        <v>339</v>
      </c>
      <c r="T1142" s="298">
        <f>IFERROR(Table6[[#This Row],[Breakdown Time]]*Table6[[#This Row],[Plant Equivalent Weightage]],"")</f>
        <v>5.681818181818162E-3</v>
      </c>
      <c r="U1142" s="79" t="s">
        <v>421</v>
      </c>
      <c r="W1142" s="79">
        <v>358</v>
      </c>
    </row>
    <row r="1143" spans="1:23">
      <c r="A1143" s="79">
        <f t="shared" si="17"/>
        <v>1142</v>
      </c>
      <c r="B1143" s="79">
        <f>YEAR(Table6[[#This Row],[Date]])+IF(MONTH(Table6[[#This Row],[Date]])&gt;=4,1,0)</f>
        <v>2026</v>
      </c>
      <c r="C1143" s="79">
        <f>YEAR(Table6[[#This Row],[Date]])</f>
        <v>2025</v>
      </c>
      <c r="D1143" s="79" t="s">
        <v>344</v>
      </c>
      <c r="E1143" s="284">
        <f>Table6[[#This Row],[Date]]-DAY(Table6[[#This Row],[Date]])+1</f>
        <v>45839</v>
      </c>
      <c r="F1143" s="285">
        <v>45863</v>
      </c>
      <c r="G1143" s="79" t="s">
        <v>92</v>
      </c>
      <c r="H1143" s="79" t="str">
        <f>IFERROR(_xlfn.XLOOKUP(Table6[[#This Row],[Affected Feeder ]],'Basic Data'!$A:$A,'Basic Data'!$B:$B),"")</f>
        <v>PWEPL</v>
      </c>
      <c r="I1143" s="79" t="str">
        <f>IFERROR(_xlfn.XLOOKUP(Table6[[#This Row],[Affected Feeder ]],'Basic Data'!$A:$A,'Basic Data'!$C:$C),"")</f>
        <v>MSEDCL</v>
      </c>
      <c r="J1143" s="295">
        <f>IFERROR(_xlfn.XLOOKUP(Table6[[#This Row],[Affected Feeder ]],'Basic Data'!$A:$A,'Basic Data'!$E:$E),"")</f>
        <v>2.2727272727272728E-2</v>
      </c>
      <c r="K1143" s="296" t="s">
        <v>171</v>
      </c>
      <c r="L1143" s="297">
        <v>0.81874999999999998</v>
      </c>
      <c r="M1143" s="297">
        <v>0.81874999999999998</v>
      </c>
      <c r="N1143" s="297">
        <v>0.83263888888888893</v>
      </c>
      <c r="O1143" s="298">
        <f>(Table6[[#This Row],[Work Start TimeStamp]]-Table6[[#This Row],[Fault Start TimeStamp]])*24</f>
        <v>0</v>
      </c>
      <c r="P1143" s="298">
        <f>(Table6[[#This Row],[Fault Clearance time]]-Table6[[#This Row],[Fault Start TimeStamp]])*24</f>
        <v>0.33333333333333481</v>
      </c>
      <c r="Q1143" s="298">
        <f>(Table6[[#This Row],[Fault Clearance time]]-Table6[[#This Row],[Fault Start TimeStamp]])*24</f>
        <v>0.33333333333333481</v>
      </c>
      <c r="R1143" s="79" t="s">
        <v>353</v>
      </c>
      <c r="S1143" s="79" t="s">
        <v>339</v>
      </c>
      <c r="T1143" s="298">
        <f>IFERROR(Table6[[#This Row],[Breakdown Time]]*Table6[[#This Row],[Plant Equivalent Weightage]],"")</f>
        <v>7.5757575757576098E-3</v>
      </c>
      <c r="U1143" s="79" t="s">
        <v>421</v>
      </c>
      <c r="W1143" s="79">
        <v>478</v>
      </c>
    </row>
    <row r="1144" spans="1:23">
      <c r="A1144" s="79">
        <f t="shared" si="17"/>
        <v>1143</v>
      </c>
      <c r="B1144" s="79">
        <f>YEAR(Table6[[#This Row],[Date]])+IF(MONTH(Table6[[#This Row],[Date]])&gt;=4,1,0)</f>
        <v>2026</v>
      </c>
      <c r="C1144" s="79">
        <f>YEAR(Table6[[#This Row],[Date]])</f>
        <v>2025</v>
      </c>
      <c r="D1144" s="79" t="s">
        <v>344</v>
      </c>
      <c r="E1144" s="284">
        <f>Table6[[#This Row],[Date]]-DAY(Table6[[#This Row],[Date]])+1</f>
        <v>45839</v>
      </c>
      <c r="F1144" s="285">
        <v>45863</v>
      </c>
      <c r="G1144" s="79" t="s">
        <v>94</v>
      </c>
      <c r="H1144" s="79" t="str">
        <f>IFERROR(_xlfn.XLOOKUP(Table6[[#This Row],[Affected Feeder ]],'Basic Data'!$A:$A,'Basic Data'!$B:$B),"")</f>
        <v>PWEPL</v>
      </c>
      <c r="I1144" s="79" t="str">
        <f>IFERROR(_xlfn.XLOOKUP(Table6[[#This Row],[Affected Feeder ]],'Basic Data'!$A:$A,'Basic Data'!$C:$C),"")</f>
        <v>MSEDCL</v>
      </c>
      <c r="J1144" s="295">
        <f>IFERROR(_xlfn.XLOOKUP(Table6[[#This Row],[Affected Feeder ]],'Basic Data'!$A:$A,'Basic Data'!$E:$E),"")</f>
        <v>2.2727272727272728E-2</v>
      </c>
      <c r="K1144" s="296" t="s">
        <v>171</v>
      </c>
      <c r="L1144" s="297">
        <v>0.81874999999999998</v>
      </c>
      <c r="M1144" s="297">
        <v>0.81874999999999998</v>
      </c>
      <c r="N1144" s="297">
        <v>0.83263888888888893</v>
      </c>
      <c r="O1144" s="298">
        <f>(Table6[[#This Row],[Work Start TimeStamp]]-Table6[[#This Row],[Fault Start TimeStamp]])*24</f>
        <v>0</v>
      </c>
      <c r="P1144" s="298">
        <f>(Table6[[#This Row],[Fault Clearance time]]-Table6[[#This Row],[Fault Start TimeStamp]])*24</f>
        <v>0.33333333333333481</v>
      </c>
      <c r="Q1144" s="298">
        <f>(Table6[[#This Row],[Fault Clearance time]]-Table6[[#This Row],[Fault Start TimeStamp]])*24</f>
        <v>0.33333333333333481</v>
      </c>
      <c r="R1144" s="79" t="s">
        <v>353</v>
      </c>
      <c r="S1144" s="79" t="s">
        <v>339</v>
      </c>
      <c r="T1144" s="298">
        <f>IFERROR(Table6[[#This Row],[Breakdown Time]]*Table6[[#This Row],[Plant Equivalent Weightage]],"")</f>
        <v>7.5757575757576098E-3</v>
      </c>
      <c r="U1144" s="79" t="s">
        <v>421</v>
      </c>
      <c r="W1144" s="79">
        <v>478</v>
      </c>
    </row>
    <row r="1145" spans="1:23">
      <c r="A1145" s="79">
        <f t="shared" si="17"/>
        <v>1144</v>
      </c>
      <c r="B1145" s="79">
        <f>YEAR(Table6[[#This Row],[Date]])+IF(MONTH(Table6[[#This Row],[Date]])&gt;=4,1,0)</f>
        <v>2026</v>
      </c>
      <c r="C1145" s="79">
        <f>YEAR(Table6[[#This Row],[Date]])</f>
        <v>2025</v>
      </c>
      <c r="D1145" s="79" t="s">
        <v>344</v>
      </c>
      <c r="E1145" s="284">
        <f>Table6[[#This Row],[Date]]-DAY(Table6[[#This Row],[Date]])+1</f>
        <v>45839</v>
      </c>
      <c r="F1145" s="285">
        <v>45863</v>
      </c>
      <c r="G1145" s="79" t="s">
        <v>95</v>
      </c>
      <c r="H1145" s="79" t="str">
        <f>IFERROR(_xlfn.XLOOKUP(Table6[[#This Row],[Affected Feeder ]],'Basic Data'!$A:$A,'Basic Data'!$B:$B),"")</f>
        <v>PWEPL</v>
      </c>
      <c r="I1145" s="79" t="str">
        <f>IFERROR(_xlfn.XLOOKUP(Table6[[#This Row],[Affected Feeder ]],'Basic Data'!$A:$A,'Basic Data'!$C:$C),"")</f>
        <v>MSEDCL</v>
      </c>
      <c r="J1145" s="295">
        <f>IFERROR(_xlfn.XLOOKUP(Table6[[#This Row],[Affected Feeder ]],'Basic Data'!$A:$A,'Basic Data'!$E:$E),"")</f>
        <v>2.2727272727272728E-2</v>
      </c>
      <c r="K1145" s="296" t="s">
        <v>171</v>
      </c>
      <c r="L1145" s="297">
        <v>0.81874999999999998</v>
      </c>
      <c r="M1145" s="297">
        <v>0.81874999999999998</v>
      </c>
      <c r="N1145" s="297">
        <v>0.8256944444444444</v>
      </c>
      <c r="O1145" s="298">
        <f>(Table6[[#This Row],[Work Start TimeStamp]]-Table6[[#This Row],[Fault Start TimeStamp]])*24</f>
        <v>0</v>
      </c>
      <c r="P1145" s="298">
        <f>(Table6[[#This Row],[Fault Clearance time]]-Table6[[#This Row],[Fault Start TimeStamp]])*24</f>
        <v>0.16666666666666607</v>
      </c>
      <c r="Q1145" s="298">
        <f>(Table6[[#This Row],[Fault Clearance time]]-Table6[[#This Row],[Fault Start TimeStamp]])*24</f>
        <v>0.16666666666666607</v>
      </c>
      <c r="R1145" s="79" t="s">
        <v>353</v>
      </c>
      <c r="S1145" s="79" t="s">
        <v>339</v>
      </c>
      <c r="T1145" s="298">
        <f>IFERROR(Table6[[#This Row],[Breakdown Time]]*Table6[[#This Row],[Plant Equivalent Weightage]],"")</f>
        <v>3.7878787878787745E-3</v>
      </c>
      <c r="U1145" s="79" t="s">
        <v>421</v>
      </c>
      <c r="W1145" s="79">
        <v>239</v>
      </c>
    </row>
    <row r="1146" spans="1:23">
      <c r="A1146" s="79">
        <f t="shared" si="17"/>
        <v>1145</v>
      </c>
      <c r="B1146" s="79">
        <f>YEAR(Table6[[#This Row],[Date]])+IF(MONTH(Table6[[#This Row],[Date]])&gt;=4,1,0)</f>
        <v>2026</v>
      </c>
      <c r="C1146" s="79">
        <f>YEAR(Table6[[#This Row],[Date]])</f>
        <v>2025</v>
      </c>
      <c r="D1146" s="79" t="s">
        <v>344</v>
      </c>
      <c r="E1146" s="284">
        <f>Table6[[#This Row],[Date]]-DAY(Table6[[#This Row],[Date]])+1</f>
        <v>45839</v>
      </c>
      <c r="F1146" s="285">
        <v>45863</v>
      </c>
      <c r="G1146" s="79" t="s">
        <v>106</v>
      </c>
      <c r="H1146" s="79" t="str">
        <f>IFERROR(_xlfn.XLOOKUP(Table6[[#This Row],[Affected Feeder ]],'Basic Data'!$A:$A,'Basic Data'!$B:$B),"")</f>
        <v>PWEPL</v>
      </c>
      <c r="I1146" s="79" t="str">
        <f>IFERROR(_xlfn.XLOOKUP(Table6[[#This Row],[Affected Feeder ]],'Basic Data'!$A:$A,'Basic Data'!$C:$C),"")</f>
        <v>MSEDCL</v>
      </c>
      <c r="J1146" s="295">
        <f>IFERROR(_xlfn.XLOOKUP(Table6[[#This Row],[Affected Feeder ]],'Basic Data'!$A:$A,'Basic Data'!$E:$E),"")</f>
        <v>2.2727272727272728E-2</v>
      </c>
      <c r="K1146" s="296" t="s">
        <v>171</v>
      </c>
      <c r="L1146" s="297">
        <v>0.81874999999999998</v>
      </c>
      <c r="M1146" s="297">
        <v>0.81874999999999998</v>
      </c>
      <c r="N1146" s="297">
        <v>0.83263888888888893</v>
      </c>
      <c r="O1146" s="298">
        <f>(Table6[[#This Row],[Work Start TimeStamp]]-Table6[[#This Row],[Fault Start TimeStamp]])*24</f>
        <v>0</v>
      </c>
      <c r="P1146" s="298">
        <f>(Table6[[#This Row],[Fault Clearance time]]-Table6[[#This Row],[Fault Start TimeStamp]])*24</f>
        <v>0.33333333333333481</v>
      </c>
      <c r="Q1146" s="298">
        <f>(Table6[[#This Row],[Fault Clearance time]]-Table6[[#This Row],[Fault Start TimeStamp]])*24</f>
        <v>0.33333333333333481</v>
      </c>
      <c r="R1146" s="79" t="s">
        <v>353</v>
      </c>
      <c r="S1146" s="79" t="s">
        <v>339</v>
      </c>
      <c r="T1146" s="298">
        <f>IFERROR(Table6[[#This Row],[Breakdown Time]]*Table6[[#This Row],[Plant Equivalent Weightage]],"")</f>
        <v>7.5757575757576098E-3</v>
      </c>
      <c r="U1146" s="79" t="s">
        <v>421</v>
      </c>
      <c r="W1146" s="79">
        <v>478</v>
      </c>
    </row>
    <row r="1147" spans="1:23">
      <c r="A1147" s="79">
        <f t="shared" si="17"/>
        <v>1146</v>
      </c>
      <c r="B1147" s="79">
        <f>YEAR(Table6[[#This Row],[Date]])+IF(MONTH(Table6[[#This Row],[Date]])&gt;=4,1,0)</f>
        <v>2026</v>
      </c>
      <c r="C1147" s="79">
        <f>YEAR(Table6[[#This Row],[Date]])</f>
        <v>2025</v>
      </c>
      <c r="D1147" s="79" t="s">
        <v>344</v>
      </c>
      <c r="E1147" s="284">
        <f>Table6[[#This Row],[Date]]-DAY(Table6[[#This Row],[Date]])+1</f>
        <v>45839</v>
      </c>
      <c r="F1147" s="285">
        <v>45863</v>
      </c>
      <c r="G1147" s="79" t="s">
        <v>79</v>
      </c>
      <c r="H1147" s="79" t="str">
        <f>IFERROR(_xlfn.XLOOKUP(Table6[[#This Row],[Affected Feeder ]],'Basic Data'!$A:$A,'Basic Data'!$B:$B),"")</f>
        <v>PWEPL</v>
      </c>
      <c r="I1147" s="79" t="str">
        <f>IFERROR(_xlfn.XLOOKUP(Table6[[#This Row],[Affected Feeder ]],'Basic Data'!$A:$A,'Basic Data'!$C:$C),"")</f>
        <v>MSEDCL</v>
      </c>
      <c r="J1147" s="295">
        <f>IFERROR(_xlfn.XLOOKUP(Table6[[#This Row],[Affected Feeder ]],'Basic Data'!$A:$A,'Basic Data'!$E:$E),"")</f>
        <v>2.2727272727272728E-2</v>
      </c>
      <c r="K1147" s="296" t="s">
        <v>171</v>
      </c>
      <c r="L1147" s="297">
        <v>0.81874999999999998</v>
      </c>
      <c r="M1147" s="297">
        <v>0.81874999999999998</v>
      </c>
      <c r="N1147" s="297">
        <v>0.83263888888888893</v>
      </c>
      <c r="O1147" s="298">
        <f>(Table6[[#This Row],[Work Start TimeStamp]]-Table6[[#This Row],[Fault Start TimeStamp]])*24</f>
        <v>0</v>
      </c>
      <c r="P1147" s="298">
        <f>(Table6[[#This Row],[Fault Clearance time]]-Table6[[#This Row],[Fault Start TimeStamp]])*24</f>
        <v>0.33333333333333481</v>
      </c>
      <c r="Q1147" s="298">
        <f>(Table6[[#This Row],[Fault Clearance time]]-Table6[[#This Row],[Fault Start TimeStamp]])*24</f>
        <v>0.33333333333333481</v>
      </c>
      <c r="R1147" s="79" t="s">
        <v>353</v>
      </c>
      <c r="S1147" s="79" t="s">
        <v>339</v>
      </c>
      <c r="T1147" s="298">
        <f>IFERROR(Table6[[#This Row],[Breakdown Time]]*Table6[[#This Row],[Plant Equivalent Weightage]],"")</f>
        <v>7.5757575757576098E-3</v>
      </c>
      <c r="U1147" s="79" t="s">
        <v>421</v>
      </c>
      <c r="W1147" s="79">
        <v>478</v>
      </c>
    </row>
    <row r="1148" spans="1:23">
      <c r="A1148" s="79">
        <f t="shared" si="17"/>
        <v>1147</v>
      </c>
      <c r="B1148" s="79">
        <f>YEAR(Table6[[#This Row],[Date]])+IF(MONTH(Table6[[#This Row],[Date]])&gt;=4,1,0)</f>
        <v>2026</v>
      </c>
      <c r="C1148" s="79">
        <f>YEAR(Table6[[#This Row],[Date]])</f>
        <v>2025</v>
      </c>
      <c r="D1148" s="79" t="s">
        <v>344</v>
      </c>
      <c r="E1148" s="284">
        <f>Table6[[#This Row],[Date]]-DAY(Table6[[#This Row],[Date]])+1</f>
        <v>45839</v>
      </c>
      <c r="F1148" s="285">
        <v>45863</v>
      </c>
      <c r="G1148" s="79" t="s">
        <v>96</v>
      </c>
      <c r="H1148" s="79" t="str">
        <f>IFERROR(_xlfn.XLOOKUP(Table6[[#This Row],[Affected Feeder ]],'Basic Data'!$A:$A,'Basic Data'!$B:$B),"")</f>
        <v>PWEPL</v>
      </c>
      <c r="I1148" s="79" t="str">
        <f>IFERROR(_xlfn.XLOOKUP(Table6[[#This Row],[Affected Feeder ]],'Basic Data'!$A:$A,'Basic Data'!$C:$C),"")</f>
        <v>MSEDCL</v>
      </c>
      <c r="J1148" s="295">
        <f>IFERROR(_xlfn.XLOOKUP(Table6[[#This Row],[Affected Feeder ]],'Basic Data'!$A:$A,'Basic Data'!$E:$E),"")</f>
        <v>2.2727272727272728E-2</v>
      </c>
      <c r="K1148" s="296" t="s">
        <v>171</v>
      </c>
      <c r="L1148" s="297">
        <v>0.81874999999999998</v>
      </c>
      <c r="M1148" s="297">
        <v>0.81874999999999998</v>
      </c>
      <c r="N1148" s="297">
        <v>0.83263888888888893</v>
      </c>
      <c r="O1148" s="298">
        <f>(Table6[[#This Row],[Work Start TimeStamp]]-Table6[[#This Row],[Fault Start TimeStamp]])*24</f>
        <v>0</v>
      </c>
      <c r="P1148" s="298">
        <f>(Table6[[#This Row],[Fault Clearance time]]-Table6[[#This Row],[Fault Start TimeStamp]])*24</f>
        <v>0.33333333333333481</v>
      </c>
      <c r="Q1148" s="298">
        <f>(Table6[[#This Row],[Fault Clearance time]]-Table6[[#This Row],[Fault Start TimeStamp]])*24</f>
        <v>0.33333333333333481</v>
      </c>
      <c r="R1148" s="79" t="s">
        <v>353</v>
      </c>
      <c r="S1148" s="79" t="s">
        <v>339</v>
      </c>
      <c r="T1148" s="298">
        <f>IFERROR(Table6[[#This Row],[Breakdown Time]]*Table6[[#This Row],[Plant Equivalent Weightage]],"")</f>
        <v>7.5757575757576098E-3</v>
      </c>
      <c r="U1148" s="79" t="s">
        <v>421</v>
      </c>
      <c r="W1148" s="79">
        <v>478</v>
      </c>
    </row>
    <row r="1149" spans="1:23">
      <c r="A1149" s="79">
        <f t="shared" si="17"/>
        <v>1148</v>
      </c>
      <c r="B1149" s="79">
        <f>YEAR(Table6[[#This Row],[Date]])+IF(MONTH(Table6[[#This Row],[Date]])&gt;=4,1,0)</f>
        <v>2026</v>
      </c>
      <c r="C1149" s="79">
        <f>YEAR(Table6[[#This Row],[Date]])</f>
        <v>2025</v>
      </c>
      <c r="D1149" s="79" t="s">
        <v>344</v>
      </c>
      <c r="E1149" s="284">
        <f>Table6[[#This Row],[Date]]-DAY(Table6[[#This Row],[Date]])+1</f>
        <v>45839</v>
      </c>
      <c r="F1149" s="285">
        <v>45863</v>
      </c>
      <c r="G1149" s="79" t="s">
        <v>97</v>
      </c>
      <c r="H1149" s="79" t="str">
        <f>IFERROR(_xlfn.XLOOKUP(Table6[[#This Row],[Affected Feeder ]],'Basic Data'!$A:$A,'Basic Data'!$B:$B),"")</f>
        <v>PWEPL</v>
      </c>
      <c r="I1149" s="79" t="str">
        <f>IFERROR(_xlfn.XLOOKUP(Table6[[#This Row],[Affected Feeder ]],'Basic Data'!$A:$A,'Basic Data'!$C:$C),"")</f>
        <v>MSEDCL</v>
      </c>
      <c r="J1149" s="295">
        <f>IFERROR(_xlfn.XLOOKUP(Table6[[#This Row],[Affected Feeder ]],'Basic Data'!$A:$A,'Basic Data'!$E:$E),"")</f>
        <v>2.2727272727272728E-2</v>
      </c>
      <c r="K1149" s="296" t="s">
        <v>171</v>
      </c>
      <c r="L1149" s="297">
        <v>0.81874999999999998</v>
      </c>
      <c r="M1149" s="297">
        <v>0.81874999999999998</v>
      </c>
      <c r="N1149" s="297">
        <v>0.83263888888888893</v>
      </c>
      <c r="O1149" s="298">
        <f>(Table6[[#This Row],[Work Start TimeStamp]]-Table6[[#This Row],[Fault Start TimeStamp]])*24</f>
        <v>0</v>
      </c>
      <c r="P1149" s="298">
        <f>(Table6[[#This Row],[Fault Clearance time]]-Table6[[#This Row],[Fault Start TimeStamp]])*24</f>
        <v>0.33333333333333481</v>
      </c>
      <c r="Q1149" s="298">
        <f>(Table6[[#This Row],[Fault Clearance time]]-Table6[[#This Row],[Fault Start TimeStamp]])*24</f>
        <v>0.33333333333333481</v>
      </c>
      <c r="R1149" s="79" t="s">
        <v>353</v>
      </c>
      <c r="S1149" s="79" t="s">
        <v>339</v>
      </c>
      <c r="T1149" s="298">
        <f>IFERROR(Table6[[#This Row],[Breakdown Time]]*Table6[[#This Row],[Plant Equivalent Weightage]],"")</f>
        <v>7.5757575757576098E-3</v>
      </c>
      <c r="U1149" s="79" t="s">
        <v>421</v>
      </c>
      <c r="W1149" s="79">
        <v>478</v>
      </c>
    </row>
    <row r="1150" spans="1:23">
      <c r="A1150" s="79">
        <f t="shared" si="17"/>
        <v>1149</v>
      </c>
      <c r="B1150" s="79">
        <f>YEAR(Table6[[#This Row],[Date]])+IF(MONTH(Table6[[#This Row],[Date]])&gt;=4,1,0)</f>
        <v>2026</v>
      </c>
      <c r="C1150" s="79">
        <f>YEAR(Table6[[#This Row],[Date]])</f>
        <v>2025</v>
      </c>
      <c r="D1150" s="79" t="s">
        <v>344</v>
      </c>
      <c r="E1150" s="284">
        <f>Table6[[#This Row],[Date]]-DAY(Table6[[#This Row],[Date]])+1</f>
        <v>45839</v>
      </c>
      <c r="F1150" s="285">
        <v>45863</v>
      </c>
      <c r="G1150" s="79" t="s">
        <v>104</v>
      </c>
      <c r="H1150" s="79" t="str">
        <f>IFERROR(_xlfn.XLOOKUP(Table6[[#This Row],[Affected Feeder ]],'Basic Data'!$A:$A,'Basic Data'!$B:$B),"")</f>
        <v>PWEPL</v>
      </c>
      <c r="I1150" s="79" t="str">
        <f>IFERROR(_xlfn.XLOOKUP(Table6[[#This Row],[Affected Feeder ]],'Basic Data'!$A:$A,'Basic Data'!$C:$C),"")</f>
        <v>MSEDCL</v>
      </c>
      <c r="J1150" s="295">
        <f>IFERROR(_xlfn.XLOOKUP(Table6[[#This Row],[Affected Feeder ]],'Basic Data'!$A:$A,'Basic Data'!$E:$E),"")</f>
        <v>2.2727272727272728E-2</v>
      </c>
      <c r="K1150" s="296" t="s">
        <v>171</v>
      </c>
      <c r="L1150" s="297">
        <v>0.81874999999999998</v>
      </c>
      <c r="M1150" s="297">
        <v>0.81874999999999998</v>
      </c>
      <c r="N1150" s="297">
        <v>0.83263888888888893</v>
      </c>
      <c r="O1150" s="298">
        <f>(Table6[[#This Row],[Work Start TimeStamp]]-Table6[[#This Row],[Fault Start TimeStamp]])*24</f>
        <v>0</v>
      </c>
      <c r="P1150" s="298">
        <f>(Table6[[#This Row],[Fault Clearance time]]-Table6[[#This Row],[Fault Start TimeStamp]])*24</f>
        <v>0.33333333333333481</v>
      </c>
      <c r="Q1150" s="298">
        <f>(Table6[[#This Row],[Fault Clearance time]]-Table6[[#This Row],[Fault Start TimeStamp]])*24</f>
        <v>0.33333333333333481</v>
      </c>
      <c r="R1150" s="79" t="s">
        <v>353</v>
      </c>
      <c r="S1150" s="79" t="s">
        <v>339</v>
      </c>
      <c r="T1150" s="298">
        <f>IFERROR(Table6[[#This Row],[Breakdown Time]]*Table6[[#This Row],[Plant Equivalent Weightage]],"")</f>
        <v>7.5757575757576098E-3</v>
      </c>
      <c r="U1150" s="79" t="s">
        <v>421</v>
      </c>
      <c r="W1150" s="79">
        <v>478</v>
      </c>
    </row>
    <row r="1151" spans="1:23">
      <c r="A1151" s="79">
        <f t="shared" si="17"/>
        <v>1150</v>
      </c>
      <c r="B1151" s="79">
        <f>YEAR(Table6[[#This Row],[Date]])+IF(MONTH(Table6[[#This Row],[Date]])&gt;=4,1,0)</f>
        <v>2026</v>
      </c>
      <c r="C1151" s="79">
        <f>YEAR(Table6[[#This Row],[Date]])</f>
        <v>2025</v>
      </c>
      <c r="D1151" s="79" t="s">
        <v>344</v>
      </c>
      <c r="E1151" s="284">
        <f>Table6[[#This Row],[Date]]-DAY(Table6[[#This Row],[Date]])+1</f>
        <v>45839</v>
      </c>
      <c r="F1151" s="285">
        <v>45863</v>
      </c>
      <c r="G1151" s="79" t="s">
        <v>110</v>
      </c>
      <c r="H1151" s="79" t="str">
        <f>IFERROR(_xlfn.XLOOKUP(Table6[[#This Row],[Affected Feeder ]],'Basic Data'!$A:$A,'Basic Data'!$B:$B),"")</f>
        <v>PWEPL</v>
      </c>
      <c r="I1151" s="79" t="str">
        <f>IFERROR(_xlfn.XLOOKUP(Table6[[#This Row],[Affected Feeder ]],'Basic Data'!$A:$A,'Basic Data'!$C:$C),"")</f>
        <v>MSEDCL</v>
      </c>
      <c r="J1151" s="295">
        <f>IFERROR(_xlfn.XLOOKUP(Table6[[#This Row],[Affected Feeder ]],'Basic Data'!$A:$A,'Basic Data'!$E:$E),"")</f>
        <v>2.2727272727272728E-2</v>
      </c>
      <c r="K1151" s="296" t="s">
        <v>171</v>
      </c>
      <c r="L1151" s="297">
        <v>0.81874999999999998</v>
      </c>
      <c r="M1151" s="297">
        <v>0.81874999999999998</v>
      </c>
      <c r="N1151" s="297">
        <v>0.83263888888888893</v>
      </c>
      <c r="O1151" s="298">
        <f>(Table6[[#This Row],[Work Start TimeStamp]]-Table6[[#This Row],[Fault Start TimeStamp]])*24</f>
        <v>0</v>
      </c>
      <c r="P1151" s="298">
        <f>(Table6[[#This Row],[Fault Clearance time]]-Table6[[#This Row],[Fault Start TimeStamp]])*24</f>
        <v>0.33333333333333481</v>
      </c>
      <c r="Q1151" s="298">
        <f>(Table6[[#This Row],[Fault Clearance time]]-Table6[[#This Row],[Fault Start TimeStamp]])*24</f>
        <v>0.33333333333333481</v>
      </c>
      <c r="R1151" s="79" t="s">
        <v>353</v>
      </c>
      <c r="S1151" s="79" t="s">
        <v>339</v>
      </c>
      <c r="T1151" s="298">
        <f>IFERROR(Table6[[#This Row],[Breakdown Time]]*Table6[[#This Row],[Plant Equivalent Weightage]],"")</f>
        <v>7.5757575757576098E-3</v>
      </c>
      <c r="U1151" s="79" t="s">
        <v>421</v>
      </c>
      <c r="W1151" s="79">
        <v>478</v>
      </c>
    </row>
    <row r="1152" spans="1:23">
      <c r="A1152" s="79">
        <f t="shared" si="17"/>
        <v>1151</v>
      </c>
      <c r="B1152" s="79">
        <f>YEAR(Table6[[#This Row],[Date]])+IF(MONTH(Table6[[#This Row],[Date]])&gt;=4,1,0)</f>
        <v>2026</v>
      </c>
      <c r="C1152" s="79">
        <f>YEAR(Table6[[#This Row],[Date]])</f>
        <v>2025</v>
      </c>
      <c r="D1152" s="79" t="s">
        <v>344</v>
      </c>
      <c r="E1152" s="284">
        <f>Table6[[#This Row],[Date]]-DAY(Table6[[#This Row],[Date]])+1</f>
        <v>45839</v>
      </c>
      <c r="F1152" s="285">
        <v>45863</v>
      </c>
      <c r="G1152" s="79" t="s">
        <v>117</v>
      </c>
      <c r="H1152" s="79" t="str">
        <f>IFERROR(_xlfn.XLOOKUP(Table6[[#This Row],[Affected Feeder ]],'Basic Data'!$A:$A,'Basic Data'!$B:$B),"")</f>
        <v>PWEPL</v>
      </c>
      <c r="I1152" s="79" t="str">
        <f>IFERROR(_xlfn.XLOOKUP(Table6[[#This Row],[Affected Feeder ]],'Basic Data'!$A:$A,'Basic Data'!$C:$C),"")</f>
        <v>MSEDCL</v>
      </c>
      <c r="J1152" s="295">
        <f>IFERROR(_xlfn.XLOOKUP(Table6[[#This Row],[Affected Feeder ]],'Basic Data'!$A:$A,'Basic Data'!$E:$E),"")</f>
        <v>2.2727272727272728E-2</v>
      </c>
      <c r="K1152" s="296" t="s">
        <v>796</v>
      </c>
      <c r="L1152" s="297">
        <v>0.7895833333333333</v>
      </c>
      <c r="M1152" s="297">
        <v>0.7895833333333333</v>
      </c>
      <c r="N1152" s="297">
        <v>0.89166666666666661</v>
      </c>
      <c r="O1152" s="298">
        <f>(Table6[[#This Row],[Work Start TimeStamp]]-Table6[[#This Row],[Fault Start TimeStamp]])*24</f>
        <v>0</v>
      </c>
      <c r="P1152" s="298">
        <f>(Table6[[#This Row],[Fault Clearance time]]-Table6[[#This Row],[Fault Start TimeStamp]])*24</f>
        <v>2.4499999999999993</v>
      </c>
      <c r="Q1152" s="298">
        <f>(Table6[[#This Row],[Fault Clearance time]]-Table6[[#This Row],[Fault Start TimeStamp]])*24</f>
        <v>2.4499999999999993</v>
      </c>
      <c r="R1152" s="79" t="s">
        <v>424</v>
      </c>
      <c r="S1152" s="79" t="s">
        <v>339</v>
      </c>
      <c r="T1152" s="298">
        <f>IFERROR(Table6[[#This Row],[Breakdown Time]]*Table6[[#This Row],[Plant Equivalent Weightage]],"")</f>
        <v>5.5681818181818166E-2</v>
      </c>
      <c r="U1152" s="79" t="s">
        <v>421</v>
      </c>
      <c r="W1152" s="79">
        <v>3985</v>
      </c>
    </row>
    <row r="1153" spans="1:23">
      <c r="A1153" s="79">
        <f t="shared" si="17"/>
        <v>1152</v>
      </c>
      <c r="B1153" s="79">
        <f>YEAR(Table6[[#This Row],[Date]])+IF(MONTH(Table6[[#This Row],[Date]])&gt;=4,1,0)</f>
        <v>2026</v>
      </c>
      <c r="C1153" s="79">
        <f>YEAR(Table6[[#This Row],[Date]])</f>
        <v>2025</v>
      </c>
      <c r="D1153" s="79" t="s">
        <v>344</v>
      </c>
      <c r="E1153" s="284">
        <f>Table6[[#This Row],[Date]]-DAY(Table6[[#This Row],[Date]])+1</f>
        <v>45839</v>
      </c>
      <c r="F1153" s="285">
        <v>45863</v>
      </c>
      <c r="G1153" s="79" t="s">
        <v>117</v>
      </c>
      <c r="H1153" s="79" t="str">
        <f>IFERROR(_xlfn.XLOOKUP(Table6[[#This Row],[Affected Feeder ]],'Basic Data'!$A:$A,'Basic Data'!$B:$B),"")</f>
        <v>PWEPL</v>
      </c>
      <c r="I1153" s="79" t="str">
        <f>IFERROR(_xlfn.XLOOKUP(Table6[[#This Row],[Affected Feeder ]],'Basic Data'!$A:$A,'Basic Data'!$C:$C),"")</f>
        <v>MSEDCL</v>
      </c>
      <c r="J1153" s="295">
        <f>IFERROR(_xlfn.XLOOKUP(Table6[[#This Row],[Affected Feeder ]],'Basic Data'!$A:$A,'Basic Data'!$E:$E),"")</f>
        <v>2.2727272727272728E-2</v>
      </c>
      <c r="K1153" s="296" t="s">
        <v>171</v>
      </c>
      <c r="L1153" s="297">
        <v>0.89166666666666661</v>
      </c>
      <c r="M1153" s="297">
        <v>0.89166666666666661</v>
      </c>
      <c r="N1153" s="297">
        <v>0.90069444444444446</v>
      </c>
      <c r="O1153" s="298">
        <f>(Table6[[#This Row],[Work Start TimeStamp]]-Table6[[#This Row],[Fault Start TimeStamp]])*24</f>
        <v>0</v>
      </c>
      <c r="P1153" s="298">
        <f>(Table6[[#This Row],[Fault Clearance time]]-Table6[[#This Row],[Fault Start TimeStamp]])*24</f>
        <v>0.21666666666666856</v>
      </c>
      <c r="Q1153" s="298">
        <f>(Table6[[#This Row],[Fault Clearance time]]-Table6[[#This Row],[Fault Start TimeStamp]])*24</f>
        <v>0.21666666666666856</v>
      </c>
      <c r="R1153" s="79" t="s">
        <v>353</v>
      </c>
      <c r="S1153" s="79" t="s">
        <v>339</v>
      </c>
      <c r="T1153" s="298">
        <f>IFERROR(Table6[[#This Row],[Breakdown Time]]*Table6[[#This Row],[Plant Equivalent Weightage]],"")</f>
        <v>4.9242424242424672E-3</v>
      </c>
      <c r="U1153" s="79" t="s">
        <v>421</v>
      </c>
      <c r="W1153" s="79">
        <v>386</v>
      </c>
    </row>
    <row r="1154" spans="1:23">
      <c r="A1154" s="79">
        <f t="shared" si="17"/>
        <v>1153</v>
      </c>
      <c r="B1154" s="79">
        <f>YEAR(Table6[[#This Row],[Date]])+IF(MONTH(Table6[[#This Row],[Date]])&gt;=4,1,0)</f>
        <v>2026</v>
      </c>
      <c r="C1154" s="79">
        <f>YEAR(Table6[[#This Row],[Date]])</f>
        <v>2025</v>
      </c>
      <c r="D1154" s="79" t="s">
        <v>344</v>
      </c>
      <c r="E1154" s="284">
        <f>Table6[[#This Row],[Date]]-DAY(Table6[[#This Row],[Date]])+1</f>
        <v>45839</v>
      </c>
      <c r="F1154" s="285">
        <v>45863</v>
      </c>
      <c r="G1154" s="79" t="s">
        <v>100</v>
      </c>
      <c r="H1154" s="79" t="str">
        <f>IFERROR(_xlfn.XLOOKUP(Table6[[#This Row],[Affected Feeder ]],'Basic Data'!$A:$A,'Basic Data'!$B:$B),"")</f>
        <v>PWEPL</v>
      </c>
      <c r="I1154" s="79" t="str">
        <f>IFERROR(_xlfn.XLOOKUP(Table6[[#This Row],[Affected Feeder ]],'Basic Data'!$A:$A,'Basic Data'!$C:$C),"")</f>
        <v>MSEDCL</v>
      </c>
      <c r="J1154" s="295">
        <f>IFERROR(_xlfn.XLOOKUP(Table6[[#This Row],[Affected Feeder ]],'Basic Data'!$A:$A,'Basic Data'!$E:$E),"")</f>
        <v>2.2727272727272728E-2</v>
      </c>
      <c r="K1154" s="296" t="s">
        <v>796</v>
      </c>
      <c r="L1154" s="297">
        <v>0.7895833333333333</v>
      </c>
      <c r="M1154" s="297">
        <v>0.7895833333333333</v>
      </c>
      <c r="N1154" s="297">
        <v>0.82430555555555562</v>
      </c>
      <c r="O1154" s="298">
        <f>(Table6[[#This Row],[Work Start TimeStamp]]-Table6[[#This Row],[Fault Start TimeStamp]])*24</f>
        <v>0</v>
      </c>
      <c r="P1154" s="298">
        <f>(Table6[[#This Row],[Fault Clearance time]]-Table6[[#This Row],[Fault Start TimeStamp]])*24</f>
        <v>0.8333333333333357</v>
      </c>
      <c r="Q1154" s="298">
        <f>(Table6[[#This Row],[Fault Clearance time]]-Table6[[#This Row],[Fault Start TimeStamp]])*24</f>
        <v>0.8333333333333357</v>
      </c>
      <c r="R1154" s="79" t="s">
        <v>424</v>
      </c>
      <c r="S1154" s="79" t="s">
        <v>339</v>
      </c>
      <c r="T1154" s="298">
        <f>IFERROR(Table6[[#This Row],[Breakdown Time]]*Table6[[#This Row],[Plant Equivalent Weightage]],"")</f>
        <v>1.8939393939393995E-2</v>
      </c>
      <c r="U1154" s="79" t="s">
        <v>421</v>
      </c>
      <c r="W1154" s="79">
        <v>961</v>
      </c>
    </row>
    <row r="1155" spans="1:23">
      <c r="A1155" s="79">
        <f t="shared" si="17"/>
        <v>1154</v>
      </c>
      <c r="B1155" s="79">
        <f>YEAR(Table6[[#This Row],[Date]])+IF(MONTH(Table6[[#This Row],[Date]])&gt;=4,1,0)</f>
        <v>2026</v>
      </c>
      <c r="C1155" s="79">
        <f>YEAR(Table6[[#This Row],[Date]])</f>
        <v>2025</v>
      </c>
      <c r="D1155" s="79" t="s">
        <v>344</v>
      </c>
      <c r="E1155" s="284">
        <f>Table6[[#This Row],[Date]]-DAY(Table6[[#This Row],[Date]])+1</f>
        <v>45839</v>
      </c>
      <c r="F1155" s="285">
        <v>45863</v>
      </c>
      <c r="G1155" s="79" t="s">
        <v>100</v>
      </c>
      <c r="H1155" s="79" t="str">
        <f>IFERROR(_xlfn.XLOOKUP(Table6[[#This Row],[Affected Feeder ]],'Basic Data'!$A:$A,'Basic Data'!$B:$B),"")</f>
        <v>PWEPL</v>
      </c>
      <c r="I1155" s="79" t="str">
        <f>IFERROR(_xlfn.XLOOKUP(Table6[[#This Row],[Affected Feeder ]],'Basic Data'!$A:$A,'Basic Data'!$C:$C),"")</f>
        <v>MSEDCL</v>
      </c>
      <c r="J1155" s="295">
        <f>IFERROR(_xlfn.XLOOKUP(Table6[[#This Row],[Affected Feeder ]],'Basic Data'!$A:$A,'Basic Data'!$E:$E),"")</f>
        <v>2.2727272727272728E-2</v>
      </c>
      <c r="K1155" s="296" t="s">
        <v>171</v>
      </c>
      <c r="L1155" s="297">
        <v>0.82430555555555562</v>
      </c>
      <c r="M1155" s="297">
        <v>0.82430555555555562</v>
      </c>
      <c r="N1155" s="297">
        <v>0.83611111111111114</v>
      </c>
      <c r="O1155" s="298">
        <f>(Table6[[#This Row],[Work Start TimeStamp]]-Table6[[#This Row],[Fault Start TimeStamp]])*24</f>
        <v>0</v>
      </c>
      <c r="P1155" s="298">
        <f>(Table6[[#This Row],[Fault Clearance time]]-Table6[[#This Row],[Fault Start TimeStamp]])*24</f>
        <v>0.28333333333333233</v>
      </c>
      <c r="Q1155" s="298">
        <f>(Table6[[#This Row],[Fault Clearance time]]-Table6[[#This Row],[Fault Start TimeStamp]])*24</f>
        <v>0.28333333333333233</v>
      </c>
      <c r="R1155" s="79" t="s">
        <v>353</v>
      </c>
      <c r="S1155" s="79" t="s">
        <v>339</v>
      </c>
      <c r="T1155" s="298">
        <f>IFERROR(Table6[[#This Row],[Breakdown Time]]*Table6[[#This Row],[Plant Equivalent Weightage]],"")</f>
        <v>6.4393939393939167E-3</v>
      </c>
      <c r="U1155" s="79" t="s">
        <v>421</v>
      </c>
      <c r="W1155" s="79">
        <v>494</v>
      </c>
    </row>
    <row r="1156" spans="1:23">
      <c r="A1156" s="79">
        <f t="shared" ref="A1156:A1197" si="18">A1155+1</f>
        <v>1155</v>
      </c>
      <c r="B1156" s="79">
        <f>YEAR(Table6[[#This Row],[Date]])+IF(MONTH(Table6[[#This Row],[Date]])&gt;=4,1,0)</f>
        <v>2026</v>
      </c>
      <c r="C1156" s="79">
        <f>YEAR(Table6[[#This Row],[Date]])</f>
        <v>2025</v>
      </c>
      <c r="D1156" s="79" t="s">
        <v>344</v>
      </c>
      <c r="E1156" s="284">
        <f>Table6[[#This Row],[Date]]-DAY(Table6[[#This Row],[Date]])+1</f>
        <v>45839</v>
      </c>
      <c r="F1156" s="285">
        <v>45863</v>
      </c>
      <c r="G1156" s="79" t="s">
        <v>101</v>
      </c>
      <c r="H1156" s="79" t="str">
        <f>IFERROR(_xlfn.XLOOKUP(Table6[[#This Row],[Affected Feeder ]],'Basic Data'!$A:$A,'Basic Data'!$B:$B),"")</f>
        <v>PWEPL</v>
      </c>
      <c r="I1156" s="79" t="str">
        <f>IFERROR(_xlfn.XLOOKUP(Table6[[#This Row],[Affected Feeder ]],'Basic Data'!$A:$A,'Basic Data'!$C:$C),"")</f>
        <v>MSEDCL</v>
      </c>
      <c r="J1156" s="295">
        <f>IFERROR(_xlfn.XLOOKUP(Table6[[#This Row],[Affected Feeder ]],'Basic Data'!$A:$A,'Basic Data'!$E:$E),"")</f>
        <v>2.2727272727272728E-2</v>
      </c>
      <c r="K1156" s="296" t="s">
        <v>796</v>
      </c>
      <c r="L1156" s="297">
        <v>0.7895833333333333</v>
      </c>
      <c r="M1156" s="297">
        <v>0.7895833333333333</v>
      </c>
      <c r="N1156" s="297">
        <v>0.82777777777777783</v>
      </c>
      <c r="O1156" s="298">
        <f>(Table6[[#This Row],[Work Start TimeStamp]]-Table6[[#This Row],[Fault Start TimeStamp]])*24</f>
        <v>0</v>
      </c>
      <c r="P1156" s="298">
        <f>(Table6[[#This Row],[Fault Clearance time]]-Table6[[#This Row],[Fault Start TimeStamp]])*24</f>
        <v>0.91666666666666874</v>
      </c>
      <c r="Q1156" s="298">
        <f>(Table6[[#This Row],[Fault Clearance time]]-Table6[[#This Row],[Fault Start TimeStamp]])*24</f>
        <v>0.91666666666666874</v>
      </c>
      <c r="R1156" s="79" t="s">
        <v>424</v>
      </c>
      <c r="S1156" s="79" t="s">
        <v>339</v>
      </c>
      <c r="T1156" s="298">
        <f>IFERROR(Table6[[#This Row],[Breakdown Time]]*Table6[[#This Row],[Plant Equivalent Weightage]],"")</f>
        <v>2.0833333333333381E-2</v>
      </c>
      <c r="U1156" s="79" t="s">
        <v>421</v>
      </c>
      <c r="W1156" s="79">
        <v>1052</v>
      </c>
    </row>
    <row r="1157" spans="1:23">
      <c r="A1157" s="79">
        <f t="shared" si="18"/>
        <v>1156</v>
      </c>
      <c r="B1157" s="79">
        <f>YEAR(Table6[[#This Row],[Date]])+IF(MONTH(Table6[[#This Row],[Date]])&gt;=4,1,0)</f>
        <v>2026</v>
      </c>
      <c r="C1157" s="79">
        <f>YEAR(Table6[[#This Row],[Date]])</f>
        <v>2025</v>
      </c>
      <c r="D1157" s="79" t="s">
        <v>344</v>
      </c>
      <c r="E1157" s="284">
        <f>Table6[[#This Row],[Date]]-DAY(Table6[[#This Row],[Date]])+1</f>
        <v>45839</v>
      </c>
      <c r="F1157" s="285">
        <v>45863</v>
      </c>
      <c r="G1157" s="79" t="s">
        <v>101</v>
      </c>
      <c r="H1157" s="79" t="str">
        <f>IFERROR(_xlfn.XLOOKUP(Table6[[#This Row],[Affected Feeder ]],'Basic Data'!$A:$A,'Basic Data'!$B:$B),"")</f>
        <v>PWEPL</v>
      </c>
      <c r="I1157" s="79" t="str">
        <f>IFERROR(_xlfn.XLOOKUP(Table6[[#This Row],[Affected Feeder ]],'Basic Data'!$A:$A,'Basic Data'!$C:$C),"")</f>
        <v>MSEDCL</v>
      </c>
      <c r="J1157" s="295">
        <f>IFERROR(_xlfn.XLOOKUP(Table6[[#This Row],[Affected Feeder ]],'Basic Data'!$A:$A,'Basic Data'!$E:$E),"")</f>
        <v>2.2727272727272728E-2</v>
      </c>
      <c r="K1157" s="296" t="s">
        <v>171</v>
      </c>
      <c r="L1157" s="297">
        <v>0.82777777777777783</v>
      </c>
      <c r="M1157" s="297">
        <v>0.82777777777777783</v>
      </c>
      <c r="N1157" s="297">
        <v>0.84097222222222223</v>
      </c>
      <c r="O1157" s="298">
        <f>(Table6[[#This Row],[Work Start TimeStamp]]-Table6[[#This Row],[Fault Start TimeStamp]])*24</f>
        <v>0</v>
      </c>
      <c r="P1157" s="298">
        <f>(Table6[[#This Row],[Fault Clearance time]]-Table6[[#This Row],[Fault Start TimeStamp]])*24</f>
        <v>0.31666666666666554</v>
      </c>
      <c r="Q1157" s="298">
        <f>(Table6[[#This Row],[Fault Clearance time]]-Table6[[#This Row],[Fault Start TimeStamp]])*24</f>
        <v>0.31666666666666554</v>
      </c>
      <c r="R1157" s="79" t="s">
        <v>353</v>
      </c>
      <c r="S1157" s="79" t="s">
        <v>339</v>
      </c>
      <c r="T1157" s="298">
        <f>IFERROR(Table6[[#This Row],[Breakdown Time]]*Table6[[#This Row],[Plant Equivalent Weightage]],"")</f>
        <v>7.1969696969696713E-3</v>
      </c>
      <c r="U1157" s="79" t="s">
        <v>421</v>
      </c>
      <c r="W1157" s="79">
        <v>555</v>
      </c>
    </row>
    <row r="1158" spans="1:23">
      <c r="A1158" s="79">
        <f t="shared" si="18"/>
        <v>1157</v>
      </c>
      <c r="B1158" s="79">
        <f>YEAR(Table6[[#This Row],[Date]])+IF(MONTH(Table6[[#This Row],[Date]])&gt;=4,1,0)</f>
        <v>2026</v>
      </c>
      <c r="C1158" s="79">
        <f>YEAR(Table6[[#This Row],[Date]])</f>
        <v>2025</v>
      </c>
      <c r="D1158" s="79" t="s">
        <v>344</v>
      </c>
      <c r="E1158" s="284">
        <f>Table6[[#This Row],[Date]]-DAY(Table6[[#This Row],[Date]])+1</f>
        <v>45839</v>
      </c>
      <c r="F1158" s="285">
        <v>45864</v>
      </c>
      <c r="G1158" s="79" t="s">
        <v>406</v>
      </c>
      <c r="H1158" s="79" t="str">
        <f>IFERROR(_xlfn.XLOOKUP(Table6[[#This Row],[Affected Feeder ]],'Basic Data'!$A:$A,'Basic Data'!$B:$B),"")</f>
        <v>PWEPL</v>
      </c>
      <c r="I1158" s="79" t="str">
        <f>IFERROR(_xlfn.XLOOKUP(Table6[[#This Row],[Affected Feeder ]],'Basic Data'!$A:$A,'Basic Data'!$C:$C),"")</f>
        <v>MSEDCL</v>
      </c>
      <c r="J1158" s="295">
        <f>IFERROR(_xlfn.XLOOKUP(Table6[[#This Row],[Affected Feeder ]],'Basic Data'!$A:$A,'Basic Data'!$E:$E),"")</f>
        <v>0.29545454545454541</v>
      </c>
      <c r="K1158" s="296" t="s">
        <v>447</v>
      </c>
      <c r="L1158" s="297">
        <v>0.10833333333333334</v>
      </c>
      <c r="M1158" s="297">
        <v>0.10833333333333334</v>
      </c>
      <c r="N1158" s="297">
        <v>0.58819444444444446</v>
      </c>
      <c r="O1158" s="298">
        <f>(Table6[[#This Row],[Work Start TimeStamp]]-Table6[[#This Row],[Fault Start TimeStamp]])*24</f>
        <v>0</v>
      </c>
      <c r="P1158" s="298">
        <f>(Table6[[#This Row],[Fault Clearance time]]-Table6[[#This Row],[Fault Start TimeStamp]])*24</f>
        <v>11.516666666666667</v>
      </c>
      <c r="Q1158" s="298">
        <f>(Table6[[#This Row],[Fault Clearance time]]-Table6[[#This Row],[Fault Start TimeStamp]])*24</f>
        <v>11.516666666666667</v>
      </c>
      <c r="R1158" s="79" t="s">
        <v>1002</v>
      </c>
      <c r="S1158" s="79" t="s">
        <v>339</v>
      </c>
      <c r="T1158" s="298">
        <f>IFERROR(Table6[[#This Row],[Breakdown Time]]*Table6[[#This Row],[Plant Equivalent Weightage]],"")</f>
        <v>3.4026515151515149</v>
      </c>
      <c r="U1158" s="79" t="s">
        <v>421</v>
      </c>
      <c r="W1158" s="79">
        <v>198423</v>
      </c>
    </row>
    <row r="1159" spans="1:23">
      <c r="A1159" s="79">
        <f t="shared" si="18"/>
        <v>1158</v>
      </c>
      <c r="B1159" s="79">
        <f>YEAR(Table6[[#This Row],[Date]])+IF(MONTH(Table6[[#This Row],[Date]])&gt;=4,1,0)</f>
        <v>2026</v>
      </c>
      <c r="C1159" s="79">
        <f>YEAR(Table6[[#This Row],[Date]])</f>
        <v>2025</v>
      </c>
      <c r="D1159" s="79" t="s">
        <v>344</v>
      </c>
      <c r="E1159" s="284">
        <f>Table6[[#This Row],[Date]]-DAY(Table6[[#This Row],[Date]])+1</f>
        <v>45839</v>
      </c>
      <c r="F1159" s="285">
        <v>45864</v>
      </c>
      <c r="G1159" s="79" t="s">
        <v>76</v>
      </c>
      <c r="H1159" s="79" t="str">
        <f>IFERROR(_xlfn.XLOOKUP(Table6[[#This Row],[Affected Feeder ]],'Basic Data'!$A:$A,'Basic Data'!$B:$B),"")</f>
        <v>PWEPL</v>
      </c>
      <c r="I1159" s="79" t="str">
        <f>IFERROR(_xlfn.XLOOKUP(Table6[[#This Row],[Affected Feeder ]],'Basic Data'!$A:$A,'Basic Data'!$C:$C),"")</f>
        <v>MSEDCL</v>
      </c>
      <c r="J1159" s="295">
        <f>IFERROR(_xlfn.XLOOKUP(Table6[[#This Row],[Affected Feeder ]],'Basic Data'!$A:$A,'Basic Data'!$E:$E),"")</f>
        <v>2.2727272727272728E-2</v>
      </c>
      <c r="K1159" s="296" t="s">
        <v>171</v>
      </c>
      <c r="L1159" s="297">
        <v>0.58819444444444446</v>
      </c>
      <c r="M1159" s="297">
        <v>0.58819444444444446</v>
      </c>
      <c r="N1159" s="297">
        <v>0.6020833333333333</v>
      </c>
      <c r="O1159" s="298">
        <f>(Table6[[#This Row],[Work Start TimeStamp]]-Table6[[#This Row],[Fault Start TimeStamp]])*24</f>
        <v>0</v>
      </c>
      <c r="P1159" s="298">
        <f>(Table6[[#This Row],[Fault Clearance time]]-Table6[[#This Row],[Fault Start TimeStamp]])*24</f>
        <v>0.33333333333333215</v>
      </c>
      <c r="Q1159" s="298">
        <f>(Table6[[#This Row],[Fault Clearance time]]-Table6[[#This Row],[Fault Start TimeStamp]])*24</f>
        <v>0.33333333333333215</v>
      </c>
      <c r="R1159" s="79" t="s">
        <v>353</v>
      </c>
      <c r="S1159" s="79" t="s">
        <v>339</v>
      </c>
      <c r="T1159" s="298">
        <f>IFERROR(Table6[[#This Row],[Breakdown Time]]*Table6[[#This Row],[Plant Equivalent Weightage]],"")</f>
        <v>7.5757575757575491E-3</v>
      </c>
      <c r="U1159" s="79" t="s">
        <v>421</v>
      </c>
      <c r="W1159" s="79">
        <v>442</v>
      </c>
    </row>
    <row r="1160" spans="1:23">
      <c r="A1160" s="79">
        <f t="shared" si="18"/>
        <v>1159</v>
      </c>
      <c r="B1160" s="79">
        <f>YEAR(Table6[[#This Row],[Date]])+IF(MONTH(Table6[[#This Row],[Date]])&gt;=4,1,0)</f>
        <v>2026</v>
      </c>
      <c r="C1160" s="79">
        <f>YEAR(Table6[[#This Row],[Date]])</f>
        <v>2025</v>
      </c>
      <c r="D1160" s="79" t="s">
        <v>344</v>
      </c>
      <c r="E1160" s="284">
        <f>Table6[[#This Row],[Date]]-DAY(Table6[[#This Row],[Date]])+1</f>
        <v>45839</v>
      </c>
      <c r="F1160" s="285">
        <v>45864</v>
      </c>
      <c r="G1160" s="79" t="s">
        <v>77</v>
      </c>
      <c r="H1160" s="79" t="str">
        <f>IFERROR(_xlfn.XLOOKUP(Table6[[#This Row],[Affected Feeder ]],'Basic Data'!$A:$A,'Basic Data'!$B:$B),"")</f>
        <v>PWEPL</v>
      </c>
      <c r="I1160" s="79" t="str">
        <f>IFERROR(_xlfn.XLOOKUP(Table6[[#This Row],[Affected Feeder ]],'Basic Data'!$A:$A,'Basic Data'!$C:$C),"")</f>
        <v>MSEDCL</v>
      </c>
      <c r="J1160" s="295">
        <f>IFERROR(_xlfn.XLOOKUP(Table6[[#This Row],[Affected Feeder ]],'Basic Data'!$A:$A,'Basic Data'!$E:$E),"")</f>
        <v>2.2727272727272728E-2</v>
      </c>
      <c r="K1160" s="296" t="s">
        <v>171</v>
      </c>
      <c r="L1160" s="297">
        <v>0.58819444444444446</v>
      </c>
      <c r="M1160" s="297">
        <v>0.58819444444444446</v>
      </c>
      <c r="N1160" s="297">
        <v>0.6020833333333333</v>
      </c>
      <c r="O1160" s="298">
        <f>(Table6[[#This Row],[Work Start TimeStamp]]-Table6[[#This Row],[Fault Start TimeStamp]])*24</f>
        <v>0</v>
      </c>
      <c r="P1160" s="298">
        <f>(Table6[[#This Row],[Fault Clearance time]]-Table6[[#This Row],[Fault Start TimeStamp]])*24</f>
        <v>0.33333333333333215</v>
      </c>
      <c r="Q1160" s="298">
        <f>(Table6[[#This Row],[Fault Clearance time]]-Table6[[#This Row],[Fault Start TimeStamp]])*24</f>
        <v>0.33333333333333215</v>
      </c>
      <c r="R1160" s="79" t="s">
        <v>353</v>
      </c>
      <c r="S1160" s="79" t="s">
        <v>339</v>
      </c>
      <c r="T1160" s="298">
        <f>IFERROR(Table6[[#This Row],[Breakdown Time]]*Table6[[#This Row],[Plant Equivalent Weightage]],"")</f>
        <v>7.5757575757575491E-3</v>
      </c>
      <c r="U1160" s="79" t="s">
        <v>421</v>
      </c>
      <c r="W1160" s="79">
        <v>442</v>
      </c>
    </row>
    <row r="1161" spans="1:23">
      <c r="A1161" s="79">
        <f t="shared" si="18"/>
        <v>1160</v>
      </c>
      <c r="B1161" s="79">
        <f>YEAR(Table6[[#This Row],[Date]])+IF(MONTH(Table6[[#This Row],[Date]])&gt;=4,1,0)</f>
        <v>2026</v>
      </c>
      <c r="C1161" s="79">
        <f>YEAR(Table6[[#This Row],[Date]])</f>
        <v>2025</v>
      </c>
      <c r="D1161" s="79" t="s">
        <v>344</v>
      </c>
      <c r="E1161" s="284">
        <f>Table6[[#This Row],[Date]]-DAY(Table6[[#This Row],[Date]])+1</f>
        <v>45839</v>
      </c>
      <c r="F1161" s="285">
        <v>45864</v>
      </c>
      <c r="G1161" s="79" t="s">
        <v>78</v>
      </c>
      <c r="H1161" s="79" t="str">
        <f>IFERROR(_xlfn.XLOOKUP(Table6[[#This Row],[Affected Feeder ]],'Basic Data'!$A:$A,'Basic Data'!$B:$B),"")</f>
        <v>PWEPL</v>
      </c>
      <c r="I1161" s="79" t="str">
        <f>IFERROR(_xlfn.XLOOKUP(Table6[[#This Row],[Affected Feeder ]],'Basic Data'!$A:$A,'Basic Data'!$C:$C),"")</f>
        <v>MSEDCL</v>
      </c>
      <c r="J1161" s="295">
        <f>IFERROR(_xlfn.XLOOKUP(Table6[[#This Row],[Affected Feeder ]],'Basic Data'!$A:$A,'Basic Data'!$E:$E),"")</f>
        <v>2.2727272727272728E-2</v>
      </c>
      <c r="K1161" s="296" t="s">
        <v>171</v>
      </c>
      <c r="L1161" s="297">
        <v>0.58819444444444446</v>
      </c>
      <c r="M1161" s="297">
        <v>0.58819444444444446</v>
      </c>
      <c r="N1161" s="297">
        <v>0.6020833333333333</v>
      </c>
      <c r="O1161" s="298">
        <f>(Table6[[#This Row],[Work Start TimeStamp]]-Table6[[#This Row],[Fault Start TimeStamp]])*24</f>
        <v>0</v>
      </c>
      <c r="P1161" s="298">
        <f>(Table6[[#This Row],[Fault Clearance time]]-Table6[[#This Row],[Fault Start TimeStamp]])*24</f>
        <v>0.33333333333333215</v>
      </c>
      <c r="Q1161" s="298">
        <f>(Table6[[#This Row],[Fault Clearance time]]-Table6[[#This Row],[Fault Start TimeStamp]])*24</f>
        <v>0.33333333333333215</v>
      </c>
      <c r="R1161" s="79" t="s">
        <v>353</v>
      </c>
      <c r="S1161" s="79" t="s">
        <v>339</v>
      </c>
      <c r="T1161" s="298">
        <f>IFERROR(Table6[[#This Row],[Breakdown Time]]*Table6[[#This Row],[Plant Equivalent Weightage]],"")</f>
        <v>7.5757575757575491E-3</v>
      </c>
      <c r="U1161" s="79" t="s">
        <v>421</v>
      </c>
      <c r="W1161" s="79">
        <v>442</v>
      </c>
    </row>
    <row r="1162" spans="1:23">
      <c r="A1162" s="79">
        <f t="shared" si="18"/>
        <v>1161</v>
      </c>
      <c r="B1162" s="79">
        <f>YEAR(Table6[[#This Row],[Date]])+IF(MONTH(Table6[[#This Row],[Date]])&gt;=4,1,0)</f>
        <v>2026</v>
      </c>
      <c r="C1162" s="79">
        <f>YEAR(Table6[[#This Row],[Date]])</f>
        <v>2025</v>
      </c>
      <c r="D1162" s="79" t="s">
        <v>344</v>
      </c>
      <c r="E1162" s="284">
        <f>Table6[[#This Row],[Date]]-DAY(Table6[[#This Row],[Date]])+1</f>
        <v>45839</v>
      </c>
      <c r="F1162" s="285">
        <v>45864</v>
      </c>
      <c r="G1162" s="79" t="s">
        <v>82</v>
      </c>
      <c r="H1162" s="79" t="str">
        <f>IFERROR(_xlfn.XLOOKUP(Table6[[#This Row],[Affected Feeder ]],'Basic Data'!$A:$A,'Basic Data'!$B:$B),"")</f>
        <v>PWEPL</v>
      </c>
      <c r="I1162" s="79" t="str">
        <f>IFERROR(_xlfn.XLOOKUP(Table6[[#This Row],[Affected Feeder ]],'Basic Data'!$A:$A,'Basic Data'!$C:$C),"")</f>
        <v>MSEDCL</v>
      </c>
      <c r="J1162" s="295">
        <f>IFERROR(_xlfn.XLOOKUP(Table6[[#This Row],[Affected Feeder ]],'Basic Data'!$A:$A,'Basic Data'!$E:$E),"")</f>
        <v>2.2727272727272728E-2</v>
      </c>
      <c r="K1162" s="296" t="s">
        <v>171</v>
      </c>
      <c r="L1162" s="297">
        <v>0.58819444444444446</v>
      </c>
      <c r="M1162" s="297">
        <v>0.58819444444444446</v>
      </c>
      <c r="N1162" s="297">
        <v>0.6020833333333333</v>
      </c>
      <c r="O1162" s="298">
        <f>(Table6[[#This Row],[Work Start TimeStamp]]-Table6[[#This Row],[Fault Start TimeStamp]])*24</f>
        <v>0</v>
      </c>
      <c r="P1162" s="298">
        <f>(Table6[[#This Row],[Fault Clearance time]]-Table6[[#This Row],[Fault Start TimeStamp]])*24</f>
        <v>0.33333333333333215</v>
      </c>
      <c r="Q1162" s="298">
        <f>(Table6[[#This Row],[Fault Clearance time]]-Table6[[#This Row],[Fault Start TimeStamp]])*24</f>
        <v>0.33333333333333215</v>
      </c>
      <c r="R1162" s="79" t="s">
        <v>353</v>
      </c>
      <c r="S1162" s="79" t="s">
        <v>339</v>
      </c>
      <c r="T1162" s="298">
        <f>IFERROR(Table6[[#This Row],[Breakdown Time]]*Table6[[#This Row],[Plant Equivalent Weightage]],"")</f>
        <v>7.5757575757575491E-3</v>
      </c>
      <c r="U1162" s="79" t="s">
        <v>421</v>
      </c>
      <c r="W1162" s="79">
        <v>442</v>
      </c>
    </row>
    <row r="1163" spans="1:23">
      <c r="A1163" s="79">
        <f t="shared" si="18"/>
        <v>1162</v>
      </c>
      <c r="B1163" s="79">
        <f>YEAR(Table6[[#This Row],[Date]])+IF(MONTH(Table6[[#This Row],[Date]])&gt;=4,1,0)</f>
        <v>2026</v>
      </c>
      <c r="C1163" s="79">
        <f>YEAR(Table6[[#This Row],[Date]])</f>
        <v>2025</v>
      </c>
      <c r="D1163" s="79" t="s">
        <v>344</v>
      </c>
      <c r="E1163" s="284">
        <f>Table6[[#This Row],[Date]]-DAY(Table6[[#This Row],[Date]])+1</f>
        <v>45839</v>
      </c>
      <c r="F1163" s="285">
        <v>45864</v>
      </c>
      <c r="G1163" s="79" t="s">
        <v>93</v>
      </c>
      <c r="H1163" s="79" t="str">
        <f>IFERROR(_xlfn.XLOOKUP(Table6[[#This Row],[Affected Feeder ]],'Basic Data'!$A:$A,'Basic Data'!$B:$B),"")</f>
        <v>PWEPL</v>
      </c>
      <c r="I1163" s="79" t="str">
        <f>IFERROR(_xlfn.XLOOKUP(Table6[[#This Row],[Affected Feeder ]],'Basic Data'!$A:$A,'Basic Data'!$C:$C),"")</f>
        <v>MSEDCL</v>
      </c>
      <c r="J1163" s="295">
        <f>IFERROR(_xlfn.XLOOKUP(Table6[[#This Row],[Affected Feeder ]],'Basic Data'!$A:$A,'Basic Data'!$E:$E),"")</f>
        <v>2.2727272727272728E-2</v>
      </c>
      <c r="K1163" s="296" t="s">
        <v>171</v>
      </c>
      <c r="L1163" s="297">
        <v>0.58819444444444446</v>
      </c>
      <c r="M1163" s="297">
        <v>0.58819444444444446</v>
      </c>
      <c r="N1163" s="297">
        <v>0.6020833333333333</v>
      </c>
      <c r="O1163" s="298">
        <f>(Table6[[#This Row],[Work Start TimeStamp]]-Table6[[#This Row],[Fault Start TimeStamp]])*24</f>
        <v>0</v>
      </c>
      <c r="P1163" s="298">
        <f>(Table6[[#This Row],[Fault Clearance time]]-Table6[[#This Row],[Fault Start TimeStamp]])*24</f>
        <v>0.33333333333333215</v>
      </c>
      <c r="Q1163" s="298">
        <f>(Table6[[#This Row],[Fault Clearance time]]-Table6[[#This Row],[Fault Start TimeStamp]])*24</f>
        <v>0.33333333333333215</v>
      </c>
      <c r="R1163" s="79" t="s">
        <v>353</v>
      </c>
      <c r="S1163" s="79" t="s">
        <v>339</v>
      </c>
      <c r="T1163" s="298">
        <f>IFERROR(Table6[[#This Row],[Breakdown Time]]*Table6[[#This Row],[Plant Equivalent Weightage]],"")</f>
        <v>7.5757575757575491E-3</v>
      </c>
      <c r="U1163" s="79" t="s">
        <v>421</v>
      </c>
      <c r="W1163" s="79">
        <v>442</v>
      </c>
    </row>
    <row r="1164" spans="1:23">
      <c r="A1164" s="79">
        <f t="shared" si="18"/>
        <v>1163</v>
      </c>
      <c r="B1164" s="79">
        <f>YEAR(Table6[[#This Row],[Date]])+IF(MONTH(Table6[[#This Row],[Date]])&gt;=4,1,0)</f>
        <v>2026</v>
      </c>
      <c r="C1164" s="79">
        <f>YEAR(Table6[[#This Row],[Date]])</f>
        <v>2025</v>
      </c>
      <c r="D1164" s="79" t="s">
        <v>344</v>
      </c>
      <c r="E1164" s="284">
        <f>Table6[[#This Row],[Date]]-DAY(Table6[[#This Row],[Date]])+1</f>
        <v>45839</v>
      </c>
      <c r="F1164" s="285">
        <v>45864</v>
      </c>
      <c r="G1164" s="79" t="s">
        <v>102</v>
      </c>
      <c r="H1164" s="79" t="str">
        <f>IFERROR(_xlfn.XLOOKUP(Table6[[#This Row],[Affected Feeder ]],'Basic Data'!$A:$A,'Basic Data'!$B:$B),"")</f>
        <v>PWEPL</v>
      </c>
      <c r="I1164" s="79" t="str">
        <f>IFERROR(_xlfn.XLOOKUP(Table6[[#This Row],[Affected Feeder ]],'Basic Data'!$A:$A,'Basic Data'!$C:$C),"")</f>
        <v>MSEDCL</v>
      </c>
      <c r="J1164" s="295">
        <f>IFERROR(_xlfn.XLOOKUP(Table6[[#This Row],[Affected Feeder ]],'Basic Data'!$A:$A,'Basic Data'!$E:$E),"")</f>
        <v>2.2727272727272728E-2</v>
      </c>
      <c r="K1164" s="296" t="s">
        <v>171</v>
      </c>
      <c r="L1164" s="297">
        <v>0.58819444444444446</v>
      </c>
      <c r="M1164" s="297">
        <v>0.58819444444444446</v>
      </c>
      <c r="N1164" s="297">
        <v>0.6020833333333333</v>
      </c>
      <c r="O1164" s="298">
        <f>(Table6[[#This Row],[Work Start TimeStamp]]-Table6[[#This Row],[Fault Start TimeStamp]])*24</f>
        <v>0</v>
      </c>
      <c r="P1164" s="298">
        <f>(Table6[[#This Row],[Fault Clearance time]]-Table6[[#This Row],[Fault Start TimeStamp]])*24</f>
        <v>0.33333333333333215</v>
      </c>
      <c r="Q1164" s="298">
        <f>(Table6[[#This Row],[Fault Clearance time]]-Table6[[#This Row],[Fault Start TimeStamp]])*24</f>
        <v>0.33333333333333215</v>
      </c>
      <c r="R1164" s="79" t="s">
        <v>353</v>
      </c>
      <c r="S1164" s="79" t="s">
        <v>339</v>
      </c>
      <c r="T1164" s="298">
        <f>IFERROR(Table6[[#This Row],[Breakdown Time]]*Table6[[#This Row],[Plant Equivalent Weightage]],"")</f>
        <v>7.5757575757575491E-3</v>
      </c>
      <c r="U1164" s="79" t="s">
        <v>421</v>
      </c>
      <c r="W1164" s="79">
        <v>442</v>
      </c>
    </row>
    <row r="1165" spans="1:23">
      <c r="A1165" s="79">
        <f t="shared" si="18"/>
        <v>1164</v>
      </c>
      <c r="B1165" s="79">
        <f>YEAR(Table6[[#This Row],[Date]])+IF(MONTH(Table6[[#This Row],[Date]])&gt;=4,1,0)</f>
        <v>2026</v>
      </c>
      <c r="C1165" s="79">
        <f>YEAR(Table6[[#This Row],[Date]])</f>
        <v>2025</v>
      </c>
      <c r="D1165" s="79" t="s">
        <v>344</v>
      </c>
      <c r="E1165" s="284">
        <f>Table6[[#This Row],[Date]]-DAY(Table6[[#This Row],[Date]])+1</f>
        <v>45839</v>
      </c>
      <c r="F1165" s="285">
        <v>45864</v>
      </c>
      <c r="G1165" s="79" t="s">
        <v>119</v>
      </c>
      <c r="H1165" s="79" t="str">
        <f>IFERROR(_xlfn.XLOOKUP(Table6[[#This Row],[Affected Feeder ]],'Basic Data'!$A:$A,'Basic Data'!$B:$B),"")</f>
        <v>PWEPL</v>
      </c>
      <c r="I1165" s="79" t="str">
        <f>IFERROR(_xlfn.XLOOKUP(Table6[[#This Row],[Affected Feeder ]],'Basic Data'!$A:$A,'Basic Data'!$C:$C),"")</f>
        <v>MSEDCL</v>
      </c>
      <c r="J1165" s="295">
        <f>IFERROR(_xlfn.XLOOKUP(Table6[[#This Row],[Affected Feeder ]],'Basic Data'!$A:$A,'Basic Data'!$E:$E),"")</f>
        <v>2.2727272727272728E-2</v>
      </c>
      <c r="K1165" s="296" t="s">
        <v>171</v>
      </c>
      <c r="L1165" s="297">
        <v>0.58819444444444446</v>
      </c>
      <c r="M1165" s="297">
        <v>0.58819444444444446</v>
      </c>
      <c r="N1165" s="297">
        <v>0.6020833333333333</v>
      </c>
      <c r="O1165" s="298">
        <f>(Table6[[#This Row],[Work Start TimeStamp]]-Table6[[#This Row],[Fault Start TimeStamp]])*24</f>
        <v>0</v>
      </c>
      <c r="P1165" s="298">
        <f>(Table6[[#This Row],[Fault Clearance time]]-Table6[[#This Row],[Fault Start TimeStamp]])*24</f>
        <v>0.33333333333333215</v>
      </c>
      <c r="Q1165" s="298">
        <f>(Table6[[#This Row],[Fault Clearance time]]-Table6[[#This Row],[Fault Start TimeStamp]])*24</f>
        <v>0.33333333333333215</v>
      </c>
      <c r="R1165" s="79" t="s">
        <v>353</v>
      </c>
      <c r="S1165" s="79" t="s">
        <v>339</v>
      </c>
      <c r="T1165" s="298">
        <f>IFERROR(Table6[[#This Row],[Breakdown Time]]*Table6[[#This Row],[Plant Equivalent Weightage]],"")</f>
        <v>7.5757575757575491E-3</v>
      </c>
      <c r="U1165" s="79" t="s">
        <v>421</v>
      </c>
      <c r="W1165" s="79">
        <v>442</v>
      </c>
    </row>
    <row r="1166" spans="1:23">
      <c r="A1166" s="79">
        <f t="shared" si="18"/>
        <v>1165</v>
      </c>
      <c r="B1166" s="79">
        <f>YEAR(Table6[[#This Row],[Date]])+IF(MONTH(Table6[[#This Row],[Date]])&gt;=4,1,0)</f>
        <v>2026</v>
      </c>
      <c r="C1166" s="79">
        <f>YEAR(Table6[[#This Row],[Date]])</f>
        <v>2025</v>
      </c>
      <c r="D1166" s="79" t="s">
        <v>344</v>
      </c>
      <c r="E1166" s="284">
        <f>Table6[[#This Row],[Date]]-DAY(Table6[[#This Row],[Date]])+1</f>
        <v>45839</v>
      </c>
      <c r="F1166" s="285">
        <v>45864</v>
      </c>
      <c r="G1166" s="79" t="s">
        <v>103</v>
      </c>
      <c r="H1166" s="79" t="str">
        <f>IFERROR(_xlfn.XLOOKUP(Table6[[#This Row],[Affected Feeder ]],'Basic Data'!$A:$A,'Basic Data'!$B:$B),"")</f>
        <v>PWEPL</v>
      </c>
      <c r="I1166" s="79" t="str">
        <f>IFERROR(_xlfn.XLOOKUP(Table6[[#This Row],[Affected Feeder ]],'Basic Data'!$A:$A,'Basic Data'!$C:$C),"")</f>
        <v>MSEDCL</v>
      </c>
      <c r="J1166" s="295">
        <f>IFERROR(_xlfn.XLOOKUP(Table6[[#This Row],[Affected Feeder ]],'Basic Data'!$A:$A,'Basic Data'!$E:$E),"")</f>
        <v>2.2727272727272728E-2</v>
      </c>
      <c r="K1166" s="296" t="s">
        <v>171</v>
      </c>
      <c r="L1166" s="297">
        <v>0.58819444444444446</v>
      </c>
      <c r="M1166" s="297">
        <v>0.58819444444444446</v>
      </c>
      <c r="N1166" s="297">
        <v>0.6020833333333333</v>
      </c>
      <c r="O1166" s="298">
        <f>(Table6[[#This Row],[Work Start TimeStamp]]-Table6[[#This Row],[Fault Start TimeStamp]])*24</f>
        <v>0</v>
      </c>
      <c r="P1166" s="298">
        <f>(Table6[[#This Row],[Fault Clearance time]]-Table6[[#This Row],[Fault Start TimeStamp]])*24</f>
        <v>0.33333333333333215</v>
      </c>
      <c r="Q1166" s="298">
        <f>(Table6[[#This Row],[Fault Clearance time]]-Table6[[#This Row],[Fault Start TimeStamp]])*24</f>
        <v>0.33333333333333215</v>
      </c>
      <c r="R1166" s="79" t="s">
        <v>353</v>
      </c>
      <c r="S1166" s="79" t="s">
        <v>339</v>
      </c>
      <c r="T1166" s="298">
        <f>IFERROR(Table6[[#This Row],[Breakdown Time]]*Table6[[#This Row],[Plant Equivalent Weightage]],"")</f>
        <v>7.5757575757575491E-3</v>
      </c>
      <c r="U1166" s="79" t="s">
        <v>421</v>
      </c>
      <c r="W1166" s="79">
        <v>442</v>
      </c>
    </row>
    <row r="1167" spans="1:23">
      <c r="A1167" s="79">
        <f t="shared" si="18"/>
        <v>1166</v>
      </c>
      <c r="B1167" s="79">
        <f>YEAR(Table6[[#This Row],[Date]])+IF(MONTH(Table6[[#This Row],[Date]])&gt;=4,1,0)</f>
        <v>2026</v>
      </c>
      <c r="C1167" s="79">
        <f>YEAR(Table6[[#This Row],[Date]])</f>
        <v>2025</v>
      </c>
      <c r="D1167" s="79" t="s">
        <v>344</v>
      </c>
      <c r="E1167" s="284">
        <f>Table6[[#This Row],[Date]]-DAY(Table6[[#This Row],[Date]])+1</f>
        <v>45839</v>
      </c>
      <c r="F1167" s="285">
        <v>45864</v>
      </c>
      <c r="G1167" s="79" t="s">
        <v>105</v>
      </c>
      <c r="H1167" s="79" t="str">
        <f>IFERROR(_xlfn.XLOOKUP(Table6[[#This Row],[Affected Feeder ]],'Basic Data'!$A:$A,'Basic Data'!$B:$B),"")</f>
        <v>PWEPL</v>
      </c>
      <c r="I1167" s="79" t="str">
        <f>IFERROR(_xlfn.XLOOKUP(Table6[[#This Row],[Affected Feeder ]],'Basic Data'!$A:$A,'Basic Data'!$C:$C),"")</f>
        <v>MSEDCL</v>
      </c>
      <c r="J1167" s="295">
        <f>IFERROR(_xlfn.XLOOKUP(Table6[[#This Row],[Affected Feeder ]],'Basic Data'!$A:$A,'Basic Data'!$E:$E),"")</f>
        <v>2.2727272727272728E-2</v>
      </c>
      <c r="K1167" s="296" t="s">
        <v>171</v>
      </c>
      <c r="L1167" s="297">
        <v>0.58819444444444446</v>
      </c>
      <c r="M1167" s="297">
        <v>0.58819444444444446</v>
      </c>
      <c r="N1167" s="297">
        <v>0.6020833333333333</v>
      </c>
      <c r="O1167" s="298">
        <f>(Table6[[#This Row],[Work Start TimeStamp]]-Table6[[#This Row],[Fault Start TimeStamp]])*24</f>
        <v>0</v>
      </c>
      <c r="P1167" s="298">
        <f>(Table6[[#This Row],[Fault Clearance time]]-Table6[[#This Row],[Fault Start TimeStamp]])*24</f>
        <v>0.33333333333333215</v>
      </c>
      <c r="Q1167" s="298">
        <f>(Table6[[#This Row],[Fault Clearance time]]-Table6[[#This Row],[Fault Start TimeStamp]])*24</f>
        <v>0.33333333333333215</v>
      </c>
      <c r="R1167" s="79" t="s">
        <v>353</v>
      </c>
      <c r="S1167" s="79" t="s">
        <v>339</v>
      </c>
      <c r="T1167" s="298">
        <f>IFERROR(Table6[[#This Row],[Breakdown Time]]*Table6[[#This Row],[Plant Equivalent Weightage]],"")</f>
        <v>7.5757575757575491E-3</v>
      </c>
      <c r="U1167" s="79" t="s">
        <v>421</v>
      </c>
      <c r="W1167" s="79">
        <v>442</v>
      </c>
    </row>
    <row r="1168" spans="1:23">
      <c r="A1168" s="79">
        <f t="shared" si="18"/>
        <v>1167</v>
      </c>
      <c r="B1168" s="79">
        <f>YEAR(Table6[[#This Row],[Date]])+IF(MONTH(Table6[[#This Row],[Date]])&gt;=4,1,0)</f>
        <v>2026</v>
      </c>
      <c r="C1168" s="79">
        <f>YEAR(Table6[[#This Row],[Date]])</f>
        <v>2025</v>
      </c>
      <c r="D1168" s="79" t="s">
        <v>344</v>
      </c>
      <c r="E1168" s="284">
        <f>Table6[[#This Row],[Date]]-DAY(Table6[[#This Row],[Date]])+1</f>
        <v>45839</v>
      </c>
      <c r="F1168" s="285">
        <v>45864</v>
      </c>
      <c r="G1168" s="79" t="s">
        <v>115</v>
      </c>
      <c r="H1168" s="79" t="str">
        <f>IFERROR(_xlfn.XLOOKUP(Table6[[#This Row],[Affected Feeder ]],'Basic Data'!$A:$A,'Basic Data'!$B:$B),"")</f>
        <v>PWEPL</v>
      </c>
      <c r="I1168" s="79" t="str">
        <f>IFERROR(_xlfn.XLOOKUP(Table6[[#This Row],[Affected Feeder ]],'Basic Data'!$A:$A,'Basic Data'!$C:$C),"")</f>
        <v>MSEDCL</v>
      </c>
      <c r="J1168" s="295">
        <f>IFERROR(_xlfn.XLOOKUP(Table6[[#This Row],[Affected Feeder ]],'Basic Data'!$A:$A,'Basic Data'!$E:$E),"")</f>
        <v>2.2727272727272728E-2</v>
      </c>
      <c r="K1168" s="296" t="s">
        <v>171</v>
      </c>
      <c r="L1168" s="297">
        <v>0.58819444444444446</v>
      </c>
      <c r="M1168" s="297">
        <v>0.58819444444444446</v>
      </c>
      <c r="N1168" s="297">
        <v>0.6020833333333333</v>
      </c>
      <c r="O1168" s="298">
        <f>(Table6[[#This Row],[Work Start TimeStamp]]-Table6[[#This Row],[Fault Start TimeStamp]])*24</f>
        <v>0</v>
      </c>
      <c r="P1168" s="298">
        <f>(Table6[[#This Row],[Fault Clearance time]]-Table6[[#This Row],[Fault Start TimeStamp]])*24</f>
        <v>0.33333333333333215</v>
      </c>
      <c r="Q1168" s="298">
        <f>(Table6[[#This Row],[Fault Clearance time]]-Table6[[#This Row],[Fault Start TimeStamp]])*24</f>
        <v>0.33333333333333215</v>
      </c>
      <c r="R1168" s="79" t="s">
        <v>353</v>
      </c>
      <c r="S1168" s="79" t="s">
        <v>339</v>
      </c>
      <c r="T1168" s="298">
        <f>IFERROR(Table6[[#This Row],[Breakdown Time]]*Table6[[#This Row],[Plant Equivalent Weightage]],"")</f>
        <v>7.5757575757575491E-3</v>
      </c>
      <c r="U1168" s="79" t="s">
        <v>421</v>
      </c>
      <c r="W1168" s="79">
        <v>442</v>
      </c>
    </row>
    <row r="1169" spans="1:23">
      <c r="A1169" s="79">
        <f t="shared" si="18"/>
        <v>1168</v>
      </c>
      <c r="B1169" s="79">
        <f>YEAR(Table6[[#This Row],[Date]])+IF(MONTH(Table6[[#This Row],[Date]])&gt;=4,1,0)</f>
        <v>2026</v>
      </c>
      <c r="C1169" s="79">
        <f>YEAR(Table6[[#This Row],[Date]])</f>
        <v>2025</v>
      </c>
      <c r="D1169" s="79" t="s">
        <v>344</v>
      </c>
      <c r="E1169" s="284">
        <f>Table6[[#This Row],[Date]]-DAY(Table6[[#This Row],[Date]])+1</f>
        <v>45839</v>
      </c>
      <c r="F1169" s="285">
        <v>45864</v>
      </c>
      <c r="G1169" s="79" t="s">
        <v>116</v>
      </c>
      <c r="H1169" s="79" t="str">
        <f>IFERROR(_xlfn.XLOOKUP(Table6[[#This Row],[Affected Feeder ]],'Basic Data'!$A:$A,'Basic Data'!$B:$B),"")</f>
        <v>PWEPL</v>
      </c>
      <c r="I1169" s="79" t="str">
        <f>IFERROR(_xlfn.XLOOKUP(Table6[[#This Row],[Affected Feeder ]],'Basic Data'!$A:$A,'Basic Data'!$C:$C),"")</f>
        <v>MSEDCL</v>
      </c>
      <c r="J1169" s="295">
        <f>IFERROR(_xlfn.XLOOKUP(Table6[[#This Row],[Affected Feeder ]],'Basic Data'!$A:$A,'Basic Data'!$E:$E),"")</f>
        <v>2.2727272727272728E-2</v>
      </c>
      <c r="K1169" s="296" t="s">
        <v>171</v>
      </c>
      <c r="L1169" s="297">
        <v>0.58819444444444446</v>
      </c>
      <c r="M1169" s="297">
        <v>0.58819444444444446</v>
      </c>
      <c r="N1169" s="297">
        <v>0.6020833333333333</v>
      </c>
      <c r="O1169" s="298">
        <f>(Table6[[#This Row],[Work Start TimeStamp]]-Table6[[#This Row],[Fault Start TimeStamp]])*24</f>
        <v>0</v>
      </c>
      <c r="P1169" s="298">
        <f>(Table6[[#This Row],[Fault Clearance time]]-Table6[[#This Row],[Fault Start TimeStamp]])*24</f>
        <v>0.33333333333333215</v>
      </c>
      <c r="Q1169" s="298">
        <f>(Table6[[#This Row],[Fault Clearance time]]-Table6[[#This Row],[Fault Start TimeStamp]])*24</f>
        <v>0.33333333333333215</v>
      </c>
      <c r="R1169" s="79" t="s">
        <v>353</v>
      </c>
      <c r="S1169" s="79" t="s">
        <v>339</v>
      </c>
      <c r="T1169" s="298">
        <f>IFERROR(Table6[[#This Row],[Breakdown Time]]*Table6[[#This Row],[Plant Equivalent Weightage]],"")</f>
        <v>7.5757575757575491E-3</v>
      </c>
      <c r="U1169" s="79" t="s">
        <v>421</v>
      </c>
      <c r="W1169" s="79">
        <v>442</v>
      </c>
    </row>
    <row r="1170" spans="1:23">
      <c r="A1170" s="79">
        <f t="shared" si="18"/>
        <v>1169</v>
      </c>
      <c r="B1170" s="79">
        <f>YEAR(Table6[[#This Row],[Date]])+IF(MONTH(Table6[[#This Row],[Date]])&gt;=4,1,0)</f>
        <v>2026</v>
      </c>
      <c r="C1170" s="79">
        <f>YEAR(Table6[[#This Row],[Date]])</f>
        <v>2025</v>
      </c>
      <c r="D1170" s="79" t="s">
        <v>344</v>
      </c>
      <c r="E1170" s="284">
        <f>Table6[[#This Row],[Date]]-DAY(Table6[[#This Row],[Date]])+1</f>
        <v>45839</v>
      </c>
      <c r="F1170" s="285">
        <v>45864</v>
      </c>
      <c r="G1170" s="79" t="s">
        <v>117</v>
      </c>
      <c r="H1170" s="79" t="str">
        <f>IFERROR(_xlfn.XLOOKUP(Table6[[#This Row],[Affected Feeder ]],'Basic Data'!$A:$A,'Basic Data'!$B:$B),"")</f>
        <v>PWEPL</v>
      </c>
      <c r="I1170" s="79" t="str">
        <f>IFERROR(_xlfn.XLOOKUP(Table6[[#This Row],[Affected Feeder ]],'Basic Data'!$A:$A,'Basic Data'!$C:$C),"")</f>
        <v>MSEDCL</v>
      </c>
      <c r="J1170" s="295">
        <f>IFERROR(_xlfn.XLOOKUP(Table6[[#This Row],[Affected Feeder ]],'Basic Data'!$A:$A,'Basic Data'!$E:$E),"")</f>
        <v>2.2727272727272728E-2</v>
      </c>
      <c r="K1170" s="296" t="s">
        <v>171</v>
      </c>
      <c r="L1170" s="297">
        <v>0.58819444444444446</v>
      </c>
      <c r="M1170" s="297">
        <v>0.58819444444444446</v>
      </c>
      <c r="N1170" s="297">
        <v>0.6020833333333333</v>
      </c>
      <c r="O1170" s="298">
        <f>(Table6[[#This Row],[Work Start TimeStamp]]-Table6[[#This Row],[Fault Start TimeStamp]])*24</f>
        <v>0</v>
      </c>
      <c r="P1170" s="298">
        <f>(Table6[[#This Row],[Fault Clearance time]]-Table6[[#This Row],[Fault Start TimeStamp]])*24</f>
        <v>0.33333333333333215</v>
      </c>
      <c r="Q1170" s="298">
        <f>(Table6[[#This Row],[Fault Clearance time]]-Table6[[#This Row],[Fault Start TimeStamp]])*24</f>
        <v>0.33333333333333215</v>
      </c>
      <c r="R1170" s="79" t="s">
        <v>353</v>
      </c>
      <c r="S1170" s="79" t="s">
        <v>339</v>
      </c>
      <c r="T1170" s="298">
        <f>IFERROR(Table6[[#This Row],[Breakdown Time]]*Table6[[#This Row],[Plant Equivalent Weightage]],"")</f>
        <v>7.5757575757575491E-3</v>
      </c>
      <c r="U1170" s="79" t="s">
        <v>421</v>
      </c>
      <c r="W1170" s="79">
        <v>442</v>
      </c>
    </row>
    <row r="1171" spans="1:23">
      <c r="A1171" s="79">
        <f t="shared" si="18"/>
        <v>1170</v>
      </c>
      <c r="B1171" s="79">
        <f>YEAR(Table6[[#This Row],[Date]])+IF(MONTH(Table6[[#This Row],[Date]])&gt;=4,1,0)</f>
        <v>2026</v>
      </c>
      <c r="C1171" s="79">
        <f>YEAR(Table6[[#This Row],[Date]])</f>
        <v>2025</v>
      </c>
      <c r="D1171" s="79" t="s">
        <v>344</v>
      </c>
      <c r="E1171" s="284">
        <f>Table6[[#This Row],[Date]]-DAY(Table6[[#This Row],[Date]])+1</f>
        <v>45839</v>
      </c>
      <c r="F1171" s="285">
        <v>45864</v>
      </c>
      <c r="G1171" s="79" t="s">
        <v>118</v>
      </c>
      <c r="H1171" s="79" t="str">
        <f>IFERROR(_xlfn.XLOOKUP(Table6[[#This Row],[Affected Feeder ]],'Basic Data'!$A:$A,'Basic Data'!$B:$B),"")</f>
        <v>PWEPL</v>
      </c>
      <c r="I1171" s="79" t="str">
        <f>IFERROR(_xlfn.XLOOKUP(Table6[[#This Row],[Affected Feeder ]],'Basic Data'!$A:$A,'Basic Data'!$C:$C),"")</f>
        <v>MSEDCL</v>
      </c>
      <c r="J1171" s="295">
        <f>IFERROR(_xlfn.XLOOKUP(Table6[[#This Row],[Affected Feeder ]],'Basic Data'!$A:$A,'Basic Data'!$E:$E),"")</f>
        <v>2.2727272727272728E-2</v>
      </c>
      <c r="K1171" s="296" t="s">
        <v>171</v>
      </c>
      <c r="L1171" s="297">
        <v>0.58819444444444446</v>
      </c>
      <c r="M1171" s="297">
        <v>0.58819444444444446</v>
      </c>
      <c r="N1171" s="297">
        <v>0.59791666666666665</v>
      </c>
      <c r="O1171" s="298">
        <f>(Table6[[#This Row],[Work Start TimeStamp]]-Table6[[#This Row],[Fault Start TimeStamp]])*24</f>
        <v>0</v>
      </c>
      <c r="P1171" s="298">
        <f>(Table6[[#This Row],[Fault Clearance time]]-Table6[[#This Row],[Fault Start TimeStamp]])*24</f>
        <v>0.2333333333333325</v>
      </c>
      <c r="Q1171" s="298">
        <f>(Table6[[#This Row],[Fault Clearance time]]-Table6[[#This Row],[Fault Start TimeStamp]])*24</f>
        <v>0.2333333333333325</v>
      </c>
      <c r="R1171" s="79" t="s">
        <v>353</v>
      </c>
      <c r="S1171" s="79" t="s">
        <v>339</v>
      </c>
      <c r="T1171" s="298">
        <f>IFERROR(Table6[[#This Row],[Breakdown Time]]*Table6[[#This Row],[Plant Equivalent Weightage]],"")</f>
        <v>5.3030303030302843E-3</v>
      </c>
      <c r="U1171" s="79" t="s">
        <v>421</v>
      </c>
      <c r="W1171" s="79">
        <v>309</v>
      </c>
    </row>
    <row r="1172" spans="1:23">
      <c r="A1172" s="79">
        <f t="shared" si="18"/>
        <v>1171</v>
      </c>
      <c r="B1172" s="79">
        <f>YEAR(Table6[[#This Row],[Date]])+IF(MONTH(Table6[[#This Row],[Date]])&gt;=4,1,0)</f>
        <v>2026</v>
      </c>
      <c r="C1172" s="79">
        <f>YEAR(Table6[[#This Row],[Date]])</f>
        <v>2025</v>
      </c>
      <c r="D1172" s="79" t="s">
        <v>344</v>
      </c>
      <c r="E1172" s="284">
        <f>Table6[[#This Row],[Date]]-DAY(Table6[[#This Row],[Date]])+1</f>
        <v>45839</v>
      </c>
      <c r="F1172" s="285">
        <v>45864</v>
      </c>
      <c r="G1172" s="79" t="s">
        <v>90</v>
      </c>
      <c r="H1172" s="79" t="str">
        <f>IFERROR(_xlfn.XLOOKUP(Table6[[#This Row],[Affected Feeder ]],'Basic Data'!$A:$A,'Basic Data'!$B:$B),"")</f>
        <v>PWEPL</v>
      </c>
      <c r="I1172" s="79" t="str">
        <f>IFERROR(_xlfn.XLOOKUP(Table6[[#This Row],[Affected Feeder ]],'Basic Data'!$A:$A,'Basic Data'!$C:$C),"")</f>
        <v>MSEDCL</v>
      </c>
      <c r="J1172" s="295">
        <f>IFERROR(_xlfn.XLOOKUP(Table6[[#This Row],[Affected Feeder ]],'Basic Data'!$A:$A,'Basic Data'!$E:$E),"")</f>
        <v>2.2727272727272728E-2</v>
      </c>
      <c r="K1172" s="296" t="s">
        <v>796</v>
      </c>
      <c r="L1172" s="297">
        <v>0.10833333333333334</v>
      </c>
      <c r="M1172" s="297">
        <v>0.10833333333333334</v>
      </c>
      <c r="N1172" s="297">
        <v>0.30277777777777776</v>
      </c>
      <c r="O1172" s="298">
        <f>(Table6[[#This Row],[Work Start TimeStamp]]-Table6[[#This Row],[Fault Start TimeStamp]])*24</f>
        <v>0</v>
      </c>
      <c r="P1172" s="298">
        <f>(Table6[[#This Row],[Fault Clearance time]]-Table6[[#This Row],[Fault Start TimeStamp]])*24</f>
        <v>4.6666666666666661</v>
      </c>
      <c r="Q1172" s="298">
        <f>(Table6[[#This Row],[Fault Clearance time]]-Table6[[#This Row],[Fault Start TimeStamp]])*24</f>
        <v>4.6666666666666661</v>
      </c>
      <c r="R1172" s="79" t="s">
        <v>424</v>
      </c>
      <c r="S1172" s="79" t="s">
        <v>339</v>
      </c>
      <c r="T1172" s="298">
        <f>IFERROR(Table6[[#This Row],[Breakdown Time]]*Table6[[#This Row],[Plant Equivalent Weightage]],"")</f>
        <v>0.10606060606060605</v>
      </c>
      <c r="U1172" s="79" t="s">
        <v>421</v>
      </c>
      <c r="W1172" s="79">
        <v>2440</v>
      </c>
    </row>
    <row r="1173" spans="1:23">
      <c r="A1173" s="79">
        <f t="shared" si="18"/>
        <v>1172</v>
      </c>
      <c r="B1173" s="79">
        <f>YEAR(Table6[[#This Row],[Date]])+IF(MONTH(Table6[[#This Row],[Date]])&gt;=4,1,0)</f>
        <v>2026</v>
      </c>
      <c r="C1173" s="79">
        <f>YEAR(Table6[[#This Row],[Date]])</f>
        <v>2025</v>
      </c>
      <c r="D1173" s="79" t="s">
        <v>344</v>
      </c>
      <c r="E1173" s="284">
        <f>Table6[[#This Row],[Date]]-DAY(Table6[[#This Row],[Date]])+1</f>
        <v>45839</v>
      </c>
      <c r="F1173" s="285">
        <v>45864</v>
      </c>
      <c r="G1173" s="79" t="s">
        <v>90</v>
      </c>
      <c r="H1173" s="79" t="str">
        <f>IFERROR(_xlfn.XLOOKUP(Table6[[#This Row],[Affected Feeder ]],'Basic Data'!$A:$A,'Basic Data'!$B:$B),"")</f>
        <v>PWEPL</v>
      </c>
      <c r="I1173" s="79" t="str">
        <f>IFERROR(_xlfn.XLOOKUP(Table6[[#This Row],[Affected Feeder ]],'Basic Data'!$A:$A,'Basic Data'!$C:$C),"")</f>
        <v>MSEDCL</v>
      </c>
      <c r="J1173" s="295">
        <f>IFERROR(_xlfn.XLOOKUP(Table6[[#This Row],[Affected Feeder ]],'Basic Data'!$A:$A,'Basic Data'!$E:$E),"")</f>
        <v>2.2727272727272728E-2</v>
      </c>
      <c r="K1173" s="296" t="s">
        <v>171</v>
      </c>
      <c r="L1173" s="297">
        <v>0.30277777777777776</v>
      </c>
      <c r="M1173" s="297">
        <v>0.30277777777777776</v>
      </c>
      <c r="N1173" s="297">
        <v>0.31666666666666665</v>
      </c>
      <c r="O1173" s="298">
        <f>(Table6[[#This Row],[Work Start TimeStamp]]-Table6[[#This Row],[Fault Start TimeStamp]])*24</f>
        <v>0</v>
      </c>
      <c r="P1173" s="298">
        <f>(Table6[[#This Row],[Fault Clearance time]]-Table6[[#This Row],[Fault Start TimeStamp]])*24</f>
        <v>0.33333333333333348</v>
      </c>
      <c r="Q1173" s="298">
        <f>(Table6[[#This Row],[Fault Clearance time]]-Table6[[#This Row],[Fault Start TimeStamp]])*24</f>
        <v>0.33333333333333348</v>
      </c>
      <c r="R1173" s="79" t="s">
        <v>353</v>
      </c>
      <c r="S1173" s="79" t="s">
        <v>339</v>
      </c>
      <c r="T1173" s="298">
        <f>IFERROR(Table6[[#This Row],[Breakdown Time]]*Table6[[#This Row],[Plant Equivalent Weightage]],"")</f>
        <v>7.5757575757575794E-3</v>
      </c>
      <c r="U1173" s="79" t="s">
        <v>421</v>
      </c>
      <c r="W1173" s="79">
        <v>221</v>
      </c>
    </row>
    <row r="1174" spans="1:23">
      <c r="A1174" s="79">
        <f t="shared" si="18"/>
        <v>1173</v>
      </c>
      <c r="B1174" s="79">
        <f>YEAR(Table6[[#This Row],[Date]])+IF(MONTH(Table6[[#This Row],[Date]])&gt;=4,1,0)</f>
        <v>2026</v>
      </c>
      <c r="C1174" s="79">
        <f>YEAR(Table6[[#This Row],[Date]])</f>
        <v>2025</v>
      </c>
      <c r="D1174" s="79" t="s">
        <v>344</v>
      </c>
      <c r="E1174" s="284">
        <f>Table6[[#This Row],[Date]]-DAY(Table6[[#This Row],[Date]])+1</f>
        <v>45839</v>
      </c>
      <c r="F1174" s="285">
        <v>45864</v>
      </c>
      <c r="G1174" s="79" t="s">
        <v>100</v>
      </c>
      <c r="H1174" s="79" t="str">
        <f>IFERROR(_xlfn.XLOOKUP(Table6[[#This Row],[Affected Feeder ]],'Basic Data'!$A:$A,'Basic Data'!$B:$B),"")</f>
        <v>PWEPL</v>
      </c>
      <c r="I1174" s="79" t="str">
        <f>IFERROR(_xlfn.XLOOKUP(Table6[[#This Row],[Affected Feeder ]],'Basic Data'!$A:$A,'Basic Data'!$C:$C),"")</f>
        <v>MSEDCL</v>
      </c>
      <c r="J1174" s="295">
        <f>IFERROR(_xlfn.XLOOKUP(Table6[[#This Row],[Affected Feeder ]],'Basic Data'!$A:$A,'Basic Data'!$E:$E),"")</f>
        <v>2.2727272727272728E-2</v>
      </c>
      <c r="K1174" s="296" t="s">
        <v>796</v>
      </c>
      <c r="L1174" s="297">
        <v>0.10833333333333334</v>
      </c>
      <c r="M1174" s="297">
        <v>0.10833333333333334</v>
      </c>
      <c r="N1174" s="297">
        <v>0.12430555555555556</v>
      </c>
      <c r="O1174" s="298">
        <f>(Table6[[#This Row],[Work Start TimeStamp]]-Table6[[#This Row],[Fault Start TimeStamp]])*24</f>
        <v>0</v>
      </c>
      <c r="P1174" s="298">
        <f>(Table6[[#This Row],[Fault Clearance time]]-Table6[[#This Row],[Fault Start TimeStamp]])*24</f>
        <v>0.3833333333333333</v>
      </c>
      <c r="Q1174" s="298">
        <f>(Table6[[#This Row],[Fault Clearance time]]-Table6[[#This Row],[Fault Start TimeStamp]])*24</f>
        <v>0.3833333333333333</v>
      </c>
      <c r="R1174" s="79" t="s">
        <v>424</v>
      </c>
      <c r="S1174" s="79" t="s">
        <v>339</v>
      </c>
      <c r="T1174" s="298">
        <f>IFERROR(Table6[[#This Row],[Breakdown Time]]*Table6[[#This Row],[Plant Equivalent Weightage]],"")</f>
        <v>8.712121212121211E-3</v>
      </c>
      <c r="U1174" s="79" t="s">
        <v>421</v>
      </c>
      <c r="W1174" s="79">
        <v>715</v>
      </c>
    </row>
    <row r="1175" spans="1:23">
      <c r="A1175" s="79">
        <f t="shared" si="18"/>
        <v>1174</v>
      </c>
      <c r="B1175" s="79">
        <f>YEAR(Table6[[#This Row],[Date]])+IF(MONTH(Table6[[#This Row],[Date]])&gt;=4,1,0)</f>
        <v>2026</v>
      </c>
      <c r="C1175" s="79">
        <f>YEAR(Table6[[#This Row],[Date]])</f>
        <v>2025</v>
      </c>
      <c r="D1175" s="79" t="s">
        <v>344</v>
      </c>
      <c r="E1175" s="284">
        <f>Table6[[#This Row],[Date]]-DAY(Table6[[#This Row],[Date]])+1</f>
        <v>45839</v>
      </c>
      <c r="F1175" s="285">
        <v>45864</v>
      </c>
      <c r="G1175" s="79" t="s">
        <v>100</v>
      </c>
      <c r="H1175" s="79" t="str">
        <f>IFERROR(_xlfn.XLOOKUP(Table6[[#This Row],[Affected Feeder ]],'Basic Data'!$A:$A,'Basic Data'!$B:$B),"")</f>
        <v>PWEPL</v>
      </c>
      <c r="I1175" s="79" t="str">
        <f>IFERROR(_xlfn.XLOOKUP(Table6[[#This Row],[Affected Feeder ]],'Basic Data'!$A:$A,'Basic Data'!$C:$C),"")</f>
        <v>MSEDCL</v>
      </c>
      <c r="J1175" s="295">
        <f>IFERROR(_xlfn.XLOOKUP(Table6[[#This Row],[Affected Feeder ]],'Basic Data'!$A:$A,'Basic Data'!$E:$E),"")</f>
        <v>2.2727272727272728E-2</v>
      </c>
      <c r="K1175" s="296" t="s">
        <v>171</v>
      </c>
      <c r="L1175" s="297">
        <v>0.12430555555555556</v>
      </c>
      <c r="M1175" s="297">
        <v>0.12430555555555556</v>
      </c>
      <c r="N1175" s="297">
        <v>0.13819444444444443</v>
      </c>
      <c r="O1175" s="298">
        <f>(Table6[[#This Row],[Work Start TimeStamp]]-Table6[[#This Row],[Fault Start TimeStamp]])*24</f>
        <v>0</v>
      </c>
      <c r="P1175" s="298">
        <f>(Table6[[#This Row],[Fault Clearance time]]-Table6[[#This Row],[Fault Start TimeStamp]])*24</f>
        <v>0.33333333333333282</v>
      </c>
      <c r="Q1175" s="298">
        <f>(Table6[[#This Row],[Fault Clearance time]]-Table6[[#This Row],[Fault Start TimeStamp]])*24</f>
        <v>0.33333333333333282</v>
      </c>
      <c r="R1175" s="79" t="s">
        <v>353</v>
      </c>
      <c r="S1175" s="79" t="s">
        <v>339</v>
      </c>
      <c r="T1175" s="298">
        <f>IFERROR(Table6[[#This Row],[Breakdown Time]]*Table6[[#This Row],[Plant Equivalent Weightage]],"")</f>
        <v>7.5757575757575638E-3</v>
      </c>
      <c r="U1175" s="79" t="s">
        <v>421</v>
      </c>
      <c r="W1175" s="79">
        <v>620</v>
      </c>
    </row>
    <row r="1176" spans="1:23">
      <c r="A1176" s="79">
        <f t="shared" si="18"/>
        <v>1175</v>
      </c>
      <c r="B1176" s="79">
        <f>YEAR(Table6[[#This Row],[Date]])+IF(MONTH(Table6[[#This Row],[Date]])&gt;=4,1,0)</f>
        <v>2026</v>
      </c>
      <c r="C1176" s="79">
        <f>YEAR(Table6[[#This Row],[Date]])</f>
        <v>2025</v>
      </c>
      <c r="D1176" s="79" t="s">
        <v>344</v>
      </c>
      <c r="E1176" s="284">
        <f>Table6[[#This Row],[Date]]-DAY(Table6[[#This Row],[Date]])+1</f>
        <v>45839</v>
      </c>
      <c r="F1176" s="285">
        <v>45864</v>
      </c>
      <c r="G1176" s="79" t="s">
        <v>106</v>
      </c>
      <c r="H1176" s="79" t="str">
        <f>IFERROR(_xlfn.XLOOKUP(Table6[[#This Row],[Affected Feeder ]],'Basic Data'!$A:$A,'Basic Data'!$B:$B),"")</f>
        <v>PWEPL</v>
      </c>
      <c r="I1176" s="79" t="str">
        <f>IFERROR(_xlfn.XLOOKUP(Table6[[#This Row],[Affected Feeder ]],'Basic Data'!$A:$A,'Basic Data'!$C:$C),"")</f>
        <v>MSEDCL</v>
      </c>
      <c r="J1176" s="295">
        <f>IFERROR(_xlfn.XLOOKUP(Table6[[#This Row],[Affected Feeder ]],'Basic Data'!$A:$A,'Basic Data'!$E:$E),"")</f>
        <v>2.2727272727272728E-2</v>
      </c>
      <c r="K1176" s="296" t="s">
        <v>796</v>
      </c>
      <c r="L1176" s="297">
        <v>0.10833333333333334</v>
      </c>
      <c r="M1176" s="297">
        <v>0.10833333333333334</v>
      </c>
      <c r="N1176" s="297">
        <v>0.28472222222222221</v>
      </c>
      <c r="O1176" s="298">
        <f>(Table6[[#This Row],[Work Start TimeStamp]]-Table6[[#This Row],[Fault Start TimeStamp]])*24</f>
        <v>0</v>
      </c>
      <c r="P1176" s="298">
        <f>(Table6[[#This Row],[Fault Clearance time]]-Table6[[#This Row],[Fault Start TimeStamp]])*24</f>
        <v>4.2333333333333325</v>
      </c>
      <c r="Q1176" s="298">
        <f>(Table6[[#This Row],[Fault Clearance time]]-Table6[[#This Row],[Fault Start TimeStamp]])*24</f>
        <v>4.2333333333333325</v>
      </c>
      <c r="R1176" s="79" t="s">
        <v>424</v>
      </c>
      <c r="S1176" s="79" t="s">
        <v>339</v>
      </c>
      <c r="T1176" s="298">
        <f>IFERROR(Table6[[#This Row],[Breakdown Time]]*Table6[[#This Row],[Plant Equivalent Weightage]],"")</f>
        <v>9.6212121212121193E-2</v>
      </c>
      <c r="U1176" s="79" t="s">
        <v>421</v>
      </c>
      <c r="W1176" s="79">
        <v>5743</v>
      </c>
    </row>
    <row r="1177" spans="1:23">
      <c r="A1177" s="79">
        <f t="shared" si="18"/>
        <v>1176</v>
      </c>
      <c r="B1177" s="79">
        <f>YEAR(Table6[[#This Row],[Date]])+IF(MONTH(Table6[[#This Row],[Date]])&gt;=4,1,0)</f>
        <v>2026</v>
      </c>
      <c r="C1177" s="79">
        <f>YEAR(Table6[[#This Row],[Date]])</f>
        <v>2025</v>
      </c>
      <c r="D1177" s="79" t="s">
        <v>344</v>
      </c>
      <c r="E1177" s="284">
        <f>Table6[[#This Row],[Date]]-DAY(Table6[[#This Row],[Date]])+1</f>
        <v>45839</v>
      </c>
      <c r="F1177" s="285">
        <v>45864</v>
      </c>
      <c r="G1177" s="79" t="s">
        <v>106</v>
      </c>
      <c r="H1177" s="79" t="str">
        <f>IFERROR(_xlfn.XLOOKUP(Table6[[#This Row],[Affected Feeder ]],'Basic Data'!$A:$A,'Basic Data'!$B:$B),"")</f>
        <v>PWEPL</v>
      </c>
      <c r="I1177" s="79" t="str">
        <f>IFERROR(_xlfn.XLOOKUP(Table6[[#This Row],[Affected Feeder ]],'Basic Data'!$A:$A,'Basic Data'!$C:$C),"")</f>
        <v>MSEDCL</v>
      </c>
      <c r="J1177" s="295">
        <f>IFERROR(_xlfn.XLOOKUP(Table6[[#This Row],[Affected Feeder ]],'Basic Data'!$A:$A,'Basic Data'!$E:$E),"")</f>
        <v>2.2727272727272728E-2</v>
      </c>
      <c r="K1177" s="296" t="s">
        <v>171</v>
      </c>
      <c r="L1177" s="297">
        <v>0.28472222222222221</v>
      </c>
      <c r="M1177" s="297">
        <v>0.28472222222222221</v>
      </c>
      <c r="N1177" s="297">
        <v>0.29166666666666669</v>
      </c>
      <c r="O1177" s="298">
        <f>(Table6[[#This Row],[Work Start TimeStamp]]-Table6[[#This Row],[Fault Start TimeStamp]])*24</f>
        <v>0</v>
      </c>
      <c r="P1177" s="298">
        <f>(Table6[[#This Row],[Fault Clearance time]]-Table6[[#This Row],[Fault Start TimeStamp]])*24</f>
        <v>0.16666666666666741</v>
      </c>
      <c r="Q1177" s="298">
        <f>(Table6[[#This Row],[Fault Clearance time]]-Table6[[#This Row],[Fault Start TimeStamp]])*24</f>
        <v>0.16666666666666741</v>
      </c>
      <c r="R1177" s="79" t="s">
        <v>353</v>
      </c>
      <c r="S1177" s="79" t="s">
        <v>339</v>
      </c>
      <c r="T1177" s="298">
        <f>IFERROR(Table6[[#This Row],[Breakdown Time]]*Table6[[#This Row],[Plant Equivalent Weightage]],"")</f>
        <v>3.7878787878788049E-3</v>
      </c>
      <c r="U1177" s="79" t="s">
        <v>421</v>
      </c>
      <c r="W1177" s="79">
        <v>235</v>
      </c>
    </row>
    <row r="1178" spans="1:23">
      <c r="A1178" s="79">
        <f t="shared" si="18"/>
        <v>1177</v>
      </c>
      <c r="B1178" s="79">
        <f>YEAR(Table6[[#This Row],[Date]])+IF(MONTH(Table6[[#This Row],[Date]])&gt;=4,1,0)</f>
        <v>2026</v>
      </c>
      <c r="C1178" s="79">
        <f>YEAR(Table6[[#This Row],[Date]])</f>
        <v>2025</v>
      </c>
      <c r="D1178" s="79" t="s">
        <v>344</v>
      </c>
      <c r="E1178" s="284">
        <f>Table6[[#This Row],[Date]]-DAY(Table6[[#This Row],[Date]])+1</f>
        <v>45839</v>
      </c>
      <c r="F1178" s="285">
        <v>45864</v>
      </c>
      <c r="G1178" s="79" t="s">
        <v>109</v>
      </c>
      <c r="H1178" s="79" t="str">
        <f>IFERROR(_xlfn.XLOOKUP(Table6[[#This Row],[Affected Feeder ]],'Basic Data'!$A:$A,'Basic Data'!$B:$B),"")</f>
        <v>PWEPL</v>
      </c>
      <c r="I1178" s="79" t="str">
        <f>IFERROR(_xlfn.XLOOKUP(Table6[[#This Row],[Affected Feeder ]],'Basic Data'!$A:$A,'Basic Data'!$C:$C),"")</f>
        <v>MSEDCL</v>
      </c>
      <c r="J1178" s="295">
        <f>IFERROR(_xlfn.XLOOKUP(Table6[[#This Row],[Affected Feeder ]],'Basic Data'!$A:$A,'Basic Data'!$E:$E),"")</f>
        <v>2.2727272727272728E-2</v>
      </c>
      <c r="K1178" s="296" t="s">
        <v>796</v>
      </c>
      <c r="L1178" s="297">
        <v>0.10833333333333334</v>
      </c>
      <c r="M1178" s="297">
        <v>0.10833333333333334</v>
      </c>
      <c r="N1178" s="297">
        <v>0.19097222222222221</v>
      </c>
      <c r="O1178" s="298">
        <f>(Table6[[#This Row],[Work Start TimeStamp]]-Table6[[#This Row],[Fault Start TimeStamp]])*24</f>
        <v>0</v>
      </c>
      <c r="P1178" s="298">
        <f>(Table6[[#This Row],[Fault Clearance time]]-Table6[[#This Row],[Fault Start TimeStamp]])*24</f>
        <v>1.9833333333333329</v>
      </c>
      <c r="Q1178" s="298">
        <f>(Table6[[#This Row],[Fault Clearance time]]-Table6[[#This Row],[Fault Start TimeStamp]])*24</f>
        <v>1.9833333333333329</v>
      </c>
      <c r="R1178" s="79" t="s">
        <v>424</v>
      </c>
      <c r="S1178" s="79" t="s">
        <v>339</v>
      </c>
      <c r="T1178" s="298">
        <f>IFERROR(Table6[[#This Row],[Breakdown Time]]*Table6[[#This Row],[Plant Equivalent Weightage]],"")</f>
        <v>4.5075757575757568E-2</v>
      </c>
      <c r="U1178" s="79" t="s">
        <v>421</v>
      </c>
      <c r="W1178" s="79">
        <v>3301</v>
      </c>
    </row>
    <row r="1179" spans="1:23">
      <c r="A1179" s="79">
        <f t="shared" si="18"/>
        <v>1178</v>
      </c>
      <c r="B1179" s="79">
        <f>YEAR(Table6[[#This Row],[Date]])+IF(MONTH(Table6[[#This Row],[Date]])&gt;=4,1,0)</f>
        <v>2026</v>
      </c>
      <c r="C1179" s="79">
        <f>YEAR(Table6[[#This Row],[Date]])</f>
        <v>2025</v>
      </c>
      <c r="D1179" s="79" t="s">
        <v>344</v>
      </c>
      <c r="E1179" s="284">
        <f>Table6[[#This Row],[Date]]-DAY(Table6[[#This Row],[Date]])+1</f>
        <v>45839</v>
      </c>
      <c r="F1179" s="285">
        <v>45864</v>
      </c>
      <c r="G1179" s="79" t="s">
        <v>109</v>
      </c>
      <c r="H1179" s="79" t="str">
        <f>IFERROR(_xlfn.XLOOKUP(Table6[[#This Row],[Affected Feeder ]],'Basic Data'!$A:$A,'Basic Data'!$B:$B),"")</f>
        <v>PWEPL</v>
      </c>
      <c r="I1179" s="79" t="str">
        <f>IFERROR(_xlfn.XLOOKUP(Table6[[#This Row],[Affected Feeder ]],'Basic Data'!$A:$A,'Basic Data'!$C:$C),"")</f>
        <v>MSEDCL</v>
      </c>
      <c r="J1179" s="295">
        <f>IFERROR(_xlfn.XLOOKUP(Table6[[#This Row],[Affected Feeder ]],'Basic Data'!$A:$A,'Basic Data'!$E:$E),"")</f>
        <v>2.2727272727272728E-2</v>
      </c>
      <c r="K1179" s="296" t="s">
        <v>171</v>
      </c>
      <c r="L1179" s="297">
        <v>0.19097222222222221</v>
      </c>
      <c r="M1179" s="297">
        <v>0.19097222222222221</v>
      </c>
      <c r="N1179" s="297">
        <v>0.19583333333333333</v>
      </c>
      <c r="O1179" s="298">
        <f>(Table6[[#This Row],[Work Start TimeStamp]]-Table6[[#This Row],[Fault Start TimeStamp]])*24</f>
        <v>0</v>
      </c>
      <c r="P1179" s="298">
        <f>(Table6[[#This Row],[Fault Clearance time]]-Table6[[#This Row],[Fault Start TimeStamp]])*24</f>
        <v>0.11666666666666692</v>
      </c>
      <c r="Q1179" s="298">
        <f>(Table6[[#This Row],[Fault Clearance time]]-Table6[[#This Row],[Fault Start TimeStamp]])*24</f>
        <v>0.11666666666666692</v>
      </c>
      <c r="R1179" s="79" t="s">
        <v>353</v>
      </c>
      <c r="S1179" s="79" t="s">
        <v>339</v>
      </c>
      <c r="T1179" s="298">
        <f>IFERROR(Table6[[#This Row],[Breakdown Time]]*Table6[[#This Row],[Plant Equivalent Weightage]],"")</f>
        <v>2.6515151515151573E-3</v>
      </c>
      <c r="U1179" s="79" t="s">
        <v>421</v>
      </c>
      <c r="W1179" s="79">
        <v>206</v>
      </c>
    </row>
    <row r="1180" spans="1:23">
      <c r="A1180" s="79">
        <f t="shared" si="18"/>
        <v>1179</v>
      </c>
      <c r="B1180" s="79">
        <f>YEAR(Table6[[#This Row],[Date]])+IF(MONTH(Table6[[#This Row],[Date]])&gt;=4,1,0)</f>
        <v>2026</v>
      </c>
      <c r="C1180" s="79">
        <f>YEAR(Table6[[#This Row],[Date]])</f>
        <v>2025</v>
      </c>
      <c r="D1180" s="79" t="s">
        <v>344</v>
      </c>
      <c r="E1180" s="284">
        <f>Table6[[#This Row],[Date]]-DAY(Table6[[#This Row],[Date]])+1</f>
        <v>45839</v>
      </c>
      <c r="F1180" s="285">
        <v>45864</v>
      </c>
      <c r="G1180" s="79" t="s">
        <v>111</v>
      </c>
      <c r="H1180" s="79" t="str">
        <f>IFERROR(_xlfn.XLOOKUP(Table6[[#This Row],[Affected Feeder ]],'Basic Data'!$A:$A,'Basic Data'!$B:$B),"")</f>
        <v>PWEPL</v>
      </c>
      <c r="I1180" s="79" t="str">
        <f>IFERROR(_xlfn.XLOOKUP(Table6[[#This Row],[Affected Feeder ]],'Basic Data'!$A:$A,'Basic Data'!$C:$C),"")</f>
        <v>MSEDCL</v>
      </c>
      <c r="J1180" s="295">
        <f>IFERROR(_xlfn.XLOOKUP(Table6[[#This Row],[Affected Feeder ]],'Basic Data'!$A:$A,'Basic Data'!$E:$E),"")</f>
        <v>2.2727272727272728E-2</v>
      </c>
      <c r="K1180" s="296" t="s">
        <v>796</v>
      </c>
      <c r="L1180" s="297">
        <v>0.10833333333333334</v>
      </c>
      <c r="M1180" s="297">
        <v>0.10833333333333334</v>
      </c>
      <c r="N1180" s="297">
        <v>0.17847222222222223</v>
      </c>
      <c r="O1180" s="298">
        <f>(Table6[[#This Row],[Work Start TimeStamp]]-Table6[[#This Row],[Fault Start TimeStamp]])*24</f>
        <v>0</v>
      </c>
      <c r="P1180" s="298">
        <f>(Table6[[#This Row],[Fault Clearance time]]-Table6[[#This Row],[Fault Start TimeStamp]])*24</f>
        <v>1.6833333333333333</v>
      </c>
      <c r="Q1180" s="298">
        <f>(Table6[[#This Row],[Fault Clearance time]]-Table6[[#This Row],[Fault Start TimeStamp]])*24</f>
        <v>1.6833333333333333</v>
      </c>
      <c r="R1180" s="79" t="s">
        <v>424</v>
      </c>
      <c r="S1180" s="79" t="s">
        <v>339</v>
      </c>
      <c r="T1180" s="298">
        <f>IFERROR(Table6[[#This Row],[Breakdown Time]]*Table6[[#This Row],[Plant Equivalent Weightage]],"")</f>
        <v>3.8257575757575761E-2</v>
      </c>
      <c r="U1180" s="79" t="s">
        <v>421</v>
      </c>
      <c r="W1180" s="79">
        <v>1730</v>
      </c>
    </row>
    <row r="1181" spans="1:23">
      <c r="A1181" s="79">
        <f t="shared" si="18"/>
        <v>1180</v>
      </c>
      <c r="B1181" s="79">
        <f>YEAR(Table6[[#This Row],[Date]])+IF(MONTH(Table6[[#This Row],[Date]])&gt;=4,1,0)</f>
        <v>2026</v>
      </c>
      <c r="C1181" s="79">
        <f>YEAR(Table6[[#This Row],[Date]])</f>
        <v>2025</v>
      </c>
      <c r="D1181" s="79" t="s">
        <v>344</v>
      </c>
      <c r="E1181" s="284">
        <f>Table6[[#This Row],[Date]]-DAY(Table6[[#This Row],[Date]])+1</f>
        <v>45839</v>
      </c>
      <c r="F1181" s="285">
        <v>45864</v>
      </c>
      <c r="G1181" s="79" t="s">
        <v>111</v>
      </c>
      <c r="H1181" s="79" t="str">
        <f>IFERROR(_xlfn.XLOOKUP(Table6[[#This Row],[Affected Feeder ]],'Basic Data'!$A:$A,'Basic Data'!$B:$B),"")</f>
        <v>PWEPL</v>
      </c>
      <c r="I1181" s="79" t="str">
        <f>IFERROR(_xlfn.XLOOKUP(Table6[[#This Row],[Affected Feeder ]],'Basic Data'!$A:$A,'Basic Data'!$C:$C),"")</f>
        <v>MSEDCL</v>
      </c>
      <c r="J1181" s="295">
        <f>IFERROR(_xlfn.XLOOKUP(Table6[[#This Row],[Affected Feeder ]],'Basic Data'!$A:$A,'Basic Data'!$E:$E),"")</f>
        <v>2.2727272727272728E-2</v>
      </c>
      <c r="K1181" s="296" t="s">
        <v>171</v>
      </c>
      <c r="L1181" s="297">
        <v>0.17847222222222223</v>
      </c>
      <c r="M1181" s="297">
        <v>0.17847222222222223</v>
      </c>
      <c r="N1181" s="297">
        <v>0.19236111111111112</v>
      </c>
      <c r="O1181" s="298">
        <f>(Table6[[#This Row],[Work Start TimeStamp]]-Table6[[#This Row],[Fault Start TimeStamp]])*24</f>
        <v>0</v>
      </c>
      <c r="P1181" s="298">
        <f>(Table6[[#This Row],[Fault Clearance time]]-Table6[[#This Row],[Fault Start TimeStamp]])*24</f>
        <v>0.33333333333333348</v>
      </c>
      <c r="Q1181" s="298">
        <f>(Table6[[#This Row],[Fault Clearance time]]-Table6[[#This Row],[Fault Start TimeStamp]])*24</f>
        <v>0.33333333333333348</v>
      </c>
      <c r="R1181" s="79" t="s">
        <v>353</v>
      </c>
      <c r="S1181" s="79" t="s">
        <v>339</v>
      </c>
      <c r="T1181" s="298">
        <f>IFERROR(Table6[[#This Row],[Breakdown Time]]*Table6[[#This Row],[Plant Equivalent Weightage]],"")</f>
        <v>7.5757575757575794E-3</v>
      </c>
      <c r="U1181" s="79" t="s">
        <v>421</v>
      </c>
      <c r="W1181" s="79">
        <v>426</v>
      </c>
    </row>
    <row r="1182" spans="1:23">
      <c r="A1182" s="79">
        <f t="shared" si="18"/>
        <v>1181</v>
      </c>
      <c r="B1182" s="79">
        <f>YEAR(Table6[[#This Row],[Date]])+IF(MONTH(Table6[[#This Row],[Date]])&gt;=4,1,0)</f>
        <v>2026</v>
      </c>
      <c r="C1182" s="79">
        <f>YEAR(Table6[[#This Row],[Date]])</f>
        <v>2025</v>
      </c>
      <c r="D1182" s="79" t="s">
        <v>344</v>
      </c>
      <c r="E1182" s="284">
        <f>Table6[[#This Row],[Date]]-DAY(Table6[[#This Row],[Date]])+1</f>
        <v>45839</v>
      </c>
      <c r="F1182" s="285">
        <v>45864</v>
      </c>
      <c r="G1182" s="79" t="s">
        <v>89</v>
      </c>
      <c r="H1182" s="79" t="str">
        <f>IFERROR(_xlfn.XLOOKUP(Table6[[#This Row],[Affected Feeder ]],'Basic Data'!$A:$A,'Basic Data'!$B:$B),"")</f>
        <v>PWEPL</v>
      </c>
      <c r="I1182" s="79" t="str">
        <f>IFERROR(_xlfn.XLOOKUP(Table6[[#This Row],[Affected Feeder ]],'Basic Data'!$A:$A,'Basic Data'!$C:$C),"")</f>
        <v>MSEDCL</v>
      </c>
      <c r="J1182" s="295">
        <f>IFERROR(_xlfn.XLOOKUP(Table6[[#This Row],[Affected Feeder ]],'Basic Data'!$A:$A,'Basic Data'!$E:$E),"")</f>
        <v>2.2727272727272728E-2</v>
      </c>
      <c r="K1182" s="296" t="s">
        <v>796</v>
      </c>
      <c r="L1182" s="297">
        <v>0.17361111111111113</v>
      </c>
      <c r="M1182" s="297">
        <v>0.17361111111111113</v>
      </c>
      <c r="N1182" s="297">
        <v>0.29166666666666669</v>
      </c>
      <c r="O1182" s="298">
        <f>(Table6[[#This Row],[Work Start TimeStamp]]-Table6[[#This Row],[Fault Start TimeStamp]])*24</f>
        <v>0</v>
      </c>
      <c r="P1182" s="298">
        <f>(Table6[[#This Row],[Fault Clearance time]]-Table6[[#This Row],[Fault Start TimeStamp]])*24</f>
        <v>2.833333333333333</v>
      </c>
      <c r="Q1182" s="298">
        <f>(Table6[[#This Row],[Fault Clearance time]]-Table6[[#This Row],[Fault Start TimeStamp]])*24</f>
        <v>2.833333333333333</v>
      </c>
      <c r="R1182" s="79" t="s">
        <v>424</v>
      </c>
      <c r="S1182" s="79" t="s">
        <v>339</v>
      </c>
      <c r="T1182" s="298">
        <f>IFERROR(Table6[[#This Row],[Breakdown Time]]*Table6[[#This Row],[Plant Equivalent Weightage]],"")</f>
        <v>6.4393939393939392E-2</v>
      </c>
      <c r="U1182" s="79" t="s">
        <v>421</v>
      </c>
      <c r="W1182" s="79">
        <v>2942</v>
      </c>
    </row>
    <row r="1183" spans="1:23">
      <c r="A1183" s="79">
        <f t="shared" si="18"/>
        <v>1182</v>
      </c>
      <c r="B1183" s="79">
        <f>YEAR(Table6[[#This Row],[Date]])+IF(MONTH(Table6[[#This Row],[Date]])&gt;=4,1,0)</f>
        <v>2026</v>
      </c>
      <c r="C1183" s="79">
        <f>YEAR(Table6[[#This Row],[Date]])</f>
        <v>2025</v>
      </c>
      <c r="D1183" s="79" t="s">
        <v>344</v>
      </c>
      <c r="E1183" s="284">
        <f>Table6[[#This Row],[Date]]-DAY(Table6[[#This Row],[Date]])+1</f>
        <v>45839</v>
      </c>
      <c r="F1183" s="285">
        <v>45864</v>
      </c>
      <c r="G1183" s="79" t="s">
        <v>89</v>
      </c>
      <c r="H1183" s="79" t="str">
        <f>IFERROR(_xlfn.XLOOKUP(Table6[[#This Row],[Affected Feeder ]],'Basic Data'!$A:$A,'Basic Data'!$B:$B),"")</f>
        <v>PWEPL</v>
      </c>
      <c r="I1183" s="79" t="str">
        <f>IFERROR(_xlfn.XLOOKUP(Table6[[#This Row],[Affected Feeder ]],'Basic Data'!$A:$A,'Basic Data'!$C:$C),"")</f>
        <v>MSEDCL</v>
      </c>
      <c r="J1183" s="295">
        <f>IFERROR(_xlfn.XLOOKUP(Table6[[#This Row],[Affected Feeder ]],'Basic Data'!$A:$A,'Basic Data'!$E:$E),"")</f>
        <v>2.2727272727272728E-2</v>
      </c>
      <c r="K1183" s="296" t="s">
        <v>171</v>
      </c>
      <c r="L1183" s="297">
        <v>0.29166666666666669</v>
      </c>
      <c r="M1183" s="297">
        <v>0.29166666666666669</v>
      </c>
      <c r="N1183" s="297">
        <v>0.29722222222222222</v>
      </c>
      <c r="O1183" s="298">
        <f>(Table6[[#This Row],[Work Start TimeStamp]]-Table6[[#This Row],[Fault Start TimeStamp]])*24</f>
        <v>0</v>
      </c>
      <c r="P1183" s="298">
        <f>(Table6[[#This Row],[Fault Clearance time]]-Table6[[#This Row],[Fault Start TimeStamp]])*24</f>
        <v>0.13333333333333286</v>
      </c>
      <c r="Q1183" s="298">
        <f>(Table6[[#This Row],[Fault Clearance time]]-Table6[[#This Row],[Fault Start TimeStamp]])*24</f>
        <v>0.13333333333333286</v>
      </c>
      <c r="R1183" s="79" t="s">
        <v>353</v>
      </c>
      <c r="S1183" s="79" t="s">
        <v>339</v>
      </c>
      <c r="T1183" s="298">
        <f>IFERROR(Table6[[#This Row],[Breakdown Time]]*Table6[[#This Row],[Plant Equivalent Weightage]],"")</f>
        <v>3.0303030303030195E-3</v>
      </c>
      <c r="U1183" s="79" t="s">
        <v>421</v>
      </c>
      <c r="W1183" s="79">
        <v>145</v>
      </c>
    </row>
    <row r="1184" spans="1:23">
      <c r="A1184" s="79">
        <f t="shared" si="18"/>
        <v>1183</v>
      </c>
      <c r="B1184" s="79">
        <f>YEAR(Table6[[#This Row],[Date]])+IF(MONTH(Table6[[#This Row],[Date]])&gt;=4,1,0)</f>
        <v>2026</v>
      </c>
      <c r="C1184" s="79">
        <f>YEAR(Table6[[#This Row],[Date]])</f>
        <v>2025</v>
      </c>
      <c r="D1184" s="79" t="s">
        <v>344</v>
      </c>
      <c r="E1184" s="284">
        <f>Table6[[#This Row],[Date]]-DAY(Table6[[#This Row],[Date]])+1</f>
        <v>45839</v>
      </c>
      <c r="F1184" s="285">
        <v>45864</v>
      </c>
      <c r="G1184" s="79" t="s">
        <v>110</v>
      </c>
      <c r="H1184" s="79" t="str">
        <f>IFERROR(_xlfn.XLOOKUP(Table6[[#This Row],[Affected Feeder ]],'Basic Data'!$A:$A,'Basic Data'!$B:$B),"")</f>
        <v>PWEPL</v>
      </c>
      <c r="I1184" s="79" t="str">
        <f>IFERROR(_xlfn.XLOOKUP(Table6[[#This Row],[Affected Feeder ]],'Basic Data'!$A:$A,'Basic Data'!$C:$C),"")</f>
        <v>MSEDCL</v>
      </c>
      <c r="J1184" s="295">
        <f>IFERROR(_xlfn.XLOOKUP(Table6[[#This Row],[Affected Feeder ]],'Basic Data'!$A:$A,'Basic Data'!$E:$E),"")</f>
        <v>2.2727272727272728E-2</v>
      </c>
      <c r="K1184" s="296" t="s">
        <v>796</v>
      </c>
      <c r="L1184" s="297">
        <v>0.16527777777777777</v>
      </c>
      <c r="M1184" s="297">
        <v>0.16527777777777777</v>
      </c>
      <c r="N1184" s="297">
        <v>0.27499999999999997</v>
      </c>
      <c r="O1184" s="298">
        <f>(Table6[[#This Row],[Work Start TimeStamp]]-Table6[[#This Row],[Fault Start TimeStamp]])*24</f>
        <v>0</v>
      </c>
      <c r="P1184" s="298">
        <f>(Table6[[#This Row],[Fault Clearance time]]-Table6[[#This Row],[Fault Start TimeStamp]])*24</f>
        <v>2.6333333333333329</v>
      </c>
      <c r="Q1184" s="298">
        <f>(Table6[[#This Row],[Fault Clearance time]]-Table6[[#This Row],[Fault Start TimeStamp]])*24</f>
        <v>2.6333333333333329</v>
      </c>
      <c r="R1184" s="79" t="s">
        <v>424</v>
      </c>
      <c r="S1184" s="79" t="s">
        <v>339</v>
      </c>
      <c r="T1184" s="298">
        <f>IFERROR(Table6[[#This Row],[Breakdown Time]]*Table6[[#This Row],[Plant Equivalent Weightage]],"")</f>
        <v>5.9848484848484838E-2</v>
      </c>
      <c r="U1184" s="79" t="s">
        <v>421</v>
      </c>
      <c r="W1184" s="79">
        <v>4428</v>
      </c>
    </row>
    <row r="1185" spans="1:23">
      <c r="A1185" s="79">
        <f t="shared" si="18"/>
        <v>1184</v>
      </c>
      <c r="B1185" s="79">
        <f>YEAR(Table6[[#This Row],[Date]])+IF(MONTH(Table6[[#This Row],[Date]])&gt;=4,1,0)</f>
        <v>2026</v>
      </c>
      <c r="C1185" s="79">
        <f>YEAR(Table6[[#This Row],[Date]])</f>
        <v>2025</v>
      </c>
      <c r="D1185" s="79" t="s">
        <v>344</v>
      </c>
      <c r="E1185" s="284">
        <f>Table6[[#This Row],[Date]]-DAY(Table6[[#This Row],[Date]])+1</f>
        <v>45839</v>
      </c>
      <c r="F1185" s="285">
        <v>45864</v>
      </c>
      <c r="G1185" s="79" t="s">
        <v>110</v>
      </c>
      <c r="H1185" s="79" t="str">
        <f>IFERROR(_xlfn.XLOOKUP(Table6[[#This Row],[Affected Feeder ]],'Basic Data'!$A:$A,'Basic Data'!$B:$B),"")</f>
        <v>PWEPL</v>
      </c>
      <c r="I1185" s="79" t="str">
        <f>IFERROR(_xlfn.XLOOKUP(Table6[[#This Row],[Affected Feeder ]],'Basic Data'!$A:$A,'Basic Data'!$C:$C),"")</f>
        <v>MSEDCL</v>
      </c>
      <c r="J1185" s="295">
        <f>IFERROR(_xlfn.XLOOKUP(Table6[[#This Row],[Affected Feeder ]],'Basic Data'!$A:$A,'Basic Data'!$E:$E),"")</f>
        <v>2.2727272727272728E-2</v>
      </c>
      <c r="K1185" s="296" t="s">
        <v>171</v>
      </c>
      <c r="L1185" s="297">
        <v>0.27499999999999997</v>
      </c>
      <c r="M1185" s="297">
        <v>0.27499999999999997</v>
      </c>
      <c r="N1185" s="297">
        <v>0.28888888888888892</v>
      </c>
      <c r="O1185" s="298">
        <f>(Table6[[#This Row],[Work Start TimeStamp]]-Table6[[#This Row],[Fault Start TimeStamp]])*24</f>
        <v>0</v>
      </c>
      <c r="P1185" s="298">
        <f>(Table6[[#This Row],[Fault Clearance time]]-Table6[[#This Row],[Fault Start TimeStamp]])*24</f>
        <v>0.33333333333333481</v>
      </c>
      <c r="Q1185" s="298">
        <f>(Table6[[#This Row],[Fault Clearance time]]-Table6[[#This Row],[Fault Start TimeStamp]])*24</f>
        <v>0.33333333333333481</v>
      </c>
      <c r="R1185" s="79" t="s">
        <v>353</v>
      </c>
      <c r="S1185" s="79" t="s">
        <v>339</v>
      </c>
      <c r="T1185" s="298">
        <f>IFERROR(Table6[[#This Row],[Breakdown Time]]*Table6[[#This Row],[Plant Equivalent Weightage]],"")</f>
        <v>7.5757575757576098E-3</v>
      </c>
      <c r="U1185" s="79" t="s">
        <v>421</v>
      </c>
      <c r="W1185" s="79">
        <v>641</v>
      </c>
    </row>
    <row r="1186" spans="1:23">
      <c r="A1186" s="79">
        <f t="shared" si="18"/>
        <v>1185</v>
      </c>
      <c r="B1186" s="79">
        <f>YEAR(Table6[[#This Row],[Date]])+IF(MONTH(Table6[[#This Row],[Date]])&gt;=4,1,0)</f>
        <v>2026</v>
      </c>
      <c r="C1186" s="79">
        <f>YEAR(Table6[[#This Row],[Date]])</f>
        <v>2025</v>
      </c>
      <c r="D1186" s="79" t="s">
        <v>344</v>
      </c>
      <c r="E1186" s="284">
        <f>Table6[[#This Row],[Date]]-DAY(Table6[[#This Row],[Date]])+1</f>
        <v>45839</v>
      </c>
      <c r="F1186" s="285">
        <v>45864</v>
      </c>
      <c r="G1186" s="79" t="s">
        <v>100</v>
      </c>
      <c r="H1186" s="79" t="str">
        <f>IFERROR(_xlfn.XLOOKUP(Table6[[#This Row],[Affected Feeder ]],'Basic Data'!$A:$A,'Basic Data'!$B:$B),"")</f>
        <v>PWEPL</v>
      </c>
      <c r="I1186" s="79" t="str">
        <f>IFERROR(_xlfn.XLOOKUP(Table6[[#This Row],[Affected Feeder ]],'Basic Data'!$A:$A,'Basic Data'!$C:$C),"")</f>
        <v>MSEDCL</v>
      </c>
      <c r="J1186" s="295">
        <f>IFERROR(_xlfn.XLOOKUP(Table6[[#This Row],[Affected Feeder ]],'Basic Data'!$A:$A,'Basic Data'!$E:$E),"")</f>
        <v>2.2727272727272728E-2</v>
      </c>
      <c r="K1186" s="296" t="s">
        <v>796</v>
      </c>
      <c r="L1186" s="297">
        <v>0.16527777777777777</v>
      </c>
      <c r="M1186" s="297">
        <v>0.16527777777777777</v>
      </c>
      <c r="N1186" s="297">
        <v>0.29583333333333334</v>
      </c>
      <c r="O1186" s="298">
        <f>(Table6[[#This Row],[Work Start TimeStamp]]-Table6[[#This Row],[Fault Start TimeStamp]])*24</f>
        <v>0</v>
      </c>
      <c r="P1186" s="298">
        <f>(Table6[[#This Row],[Fault Clearance time]]-Table6[[#This Row],[Fault Start TimeStamp]])*24</f>
        <v>3.1333333333333337</v>
      </c>
      <c r="Q1186" s="298">
        <f>(Table6[[#This Row],[Fault Clearance time]]-Table6[[#This Row],[Fault Start TimeStamp]])*24</f>
        <v>3.1333333333333337</v>
      </c>
      <c r="R1186" s="79" t="s">
        <v>424</v>
      </c>
      <c r="S1186" s="79" t="s">
        <v>339</v>
      </c>
      <c r="T1186" s="298">
        <f>IFERROR(Table6[[#This Row],[Breakdown Time]]*Table6[[#This Row],[Plant Equivalent Weightage]],"")</f>
        <v>7.1212121212121227E-2</v>
      </c>
      <c r="U1186" s="79" t="s">
        <v>421</v>
      </c>
      <c r="W1186" s="79">
        <v>5252</v>
      </c>
    </row>
    <row r="1187" spans="1:23">
      <c r="A1187" s="79">
        <f t="shared" si="18"/>
        <v>1186</v>
      </c>
      <c r="B1187" s="79">
        <f>YEAR(Table6[[#This Row],[Date]])+IF(MONTH(Table6[[#This Row],[Date]])&gt;=4,1,0)</f>
        <v>2026</v>
      </c>
      <c r="C1187" s="79">
        <f>YEAR(Table6[[#This Row],[Date]])</f>
        <v>2025</v>
      </c>
      <c r="D1187" s="79" t="s">
        <v>344</v>
      </c>
      <c r="E1187" s="284">
        <f>Table6[[#This Row],[Date]]-DAY(Table6[[#This Row],[Date]])+1</f>
        <v>45839</v>
      </c>
      <c r="F1187" s="285">
        <v>45864</v>
      </c>
      <c r="G1187" s="79" t="s">
        <v>100</v>
      </c>
      <c r="H1187" s="79" t="str">
        <f>IFERROR(_xlfn.XLOOKUP(Table6[[#This Row],[Affected Feeder ]],'Basic Data'!$A:$A,'Basic Data'!$B:$B),"")</f>
        <v>PWEPL</v>
      </c>
      <c r="I1187" s="79" t="str">
        <f>IFERROR(_xlfn.XLOOKUP(Table6[[#This Row],[Affected Feeder ]],'Basic Data'!$A:$A,'Basic Data'!$C:$C),"")</f>
        <v>MSEDCL</v>
      </c>
      <c r="J1187" s="295">
        <f>IFERROR(_xlfn.XLOOKUP(Table6[[#This Row],[Affected Feeder ]],'Basic Data'!$A:$A,'Basic Data'!$E:$E),"")</f>
        <v>2.2727272727272728E-2</v>
      </c>
      <c r="K1187" s="296" t="s">
        <v>171</v>
      </c>
      <c r="L1187" s="297">
        <v>0.29583333333333334</v>
      </c>
      <c r="M1187" s="297">
        <v>0.29583333333333334</v>
      </c>
      <c r="N1187" s="297">
        <v>0.30972222222222223</v>
      </c>
      <c r="O1187" s="298">
        <f>(Table6[[#This Row],[Work Start TimeStamp]]-Table6[[#This Row],[Fault Start TimeStamp]])*24</f>
        <v>0</v>
      </c>
      <c r="P1187" s="298">
        <f>(Table6[[#This Row],[Fault Clearance time]]-Table6[[#This Row],[Fault Start TimeStamp]])*24</f>
        <v>0.33333333333333348</v>
      </c>
      <c r="Q1187" s="298">
        <f>(Table6[[#This Row],[Fault Clearance time]]-Table6[[#This Row],[Fault Start TimeStamp]])*24</f>
        <v>0.33333333333333348</v>
      </c>
      <c r="R1187" s="79" t="s">
        <v>353</v>
      </c>
      <c r="S1187" s="79" t="s">
        <v>339</v>
      </c>
      <c r="T1187" s="298">
        <f>IFERROR(Table6[[#This Row],[Breakdown Time]]*Table6[[#This Row],[Plant Equivalent Weightage]],"")</f>
        <v>7.5757575757575794E-3</v>
      </c>
      <c r="U1187" s="79" t="s">
        <v>421</v>
      </c>
      <c r="W1187" s="79">
        <v>625</v>
      </c>
    </row>
    <row r="1188" spans="1:23">
      <c r="A1188" s="79">
        <f t="shared" si="18"/>
        <v>1187</v>
      </c>
      <c r="B1188" s="79">
        <f>YEAR(Table6[[#This Row],[Date]])+IF(MONTH(Table6[[#This Row],[Date]])&gt;=4,1,0)</f>
        <v>2026</v>
      </c>
      <c r="C1188" s="79">
        <f>YEAR(Table6[[#This Row],[Date]])</f>
        <v>2025</v>
      </c>
      <c r="D1188" s="79" t="s">
        <v>344</v>
      </c>
      <c r="E1188" s="284">
        <f>Table6[[#This Row],[Date]]-DAY(Table6[[#This Row],[Date]])+1</f>
        <v>45839</v>
      </c>
      <c r="F1188" s="285">
        <v>45864</v>
      </c>
      <c r="G1188" s="79" t="s">
        <v>89</v>
      </c>
      <c r="H1188" s="79" t="str">
        <f>IFERROR(_xlfn.XLOOKUP(Table6[[#This Row],[Affected Feeder ]],'Basic Data'!$A:$A,'Basic Data'!$B:$B),"")</f>
        <v>PWEPL</v>
      </c>
      <c r="I1188" s="79" t="str">
        <f>IFERROR(_xlfn.XLOOKUP(Table6[[#This Row],[Affected Feeder ]],'Basic Data'!$A:$A,'Basic Data'!$C:$C),"")</f>
        <v>MSEDCL</v>
      </c>
      <c r="J1188" s="295">
        <f>IFERROR(_xlfn.XLOOKUP(Table6[[#This Row],[Affected Feeder ]],'Basic Data'!$A:$A,'Basic Data'!$E:$E),"")</f>
        <v>2.2727272727272728E-2</v>
      </c>
      <c r="K1188" s="296" t="s">
        <v>796</v>
      </c>
      <c r="L1188" s="297">
        <v>0.4465277777777778</v>
      </c>
      <c r="M1188" s="297">
        <v>0.4465277777777778</v>
      </c>
      <c r="N1188" s="297">
        <v>0.48819444444444443</v>
      </c>
      <c r="O1188" s="298">
        <f>(Table6[[#This Row],[Work Start TimeStamp]]-Table6[[#This Row],[Fault Start TimeStamp]])*24</f>
        <v>0</v>
      </c>
      <c r="P1188" s="298">
        <f>(Table6[[#This Row],[Fault Clearance time]]-Table6[[#This Row],[Fault Start TimeStamp]])*24</f>
        <v>0.99999999999999911</v>
      </c>
      <c r="Q1188" s="298">
        <f>(Table6[[#This Row],[Fault Clearance time]]-Table6[[#This Row],[Fault Start TimeStamp]])*24</f>
        <v>0.99999999999999911</v>
      </c>
      <c r="R1188" s="79" t="s">
        <v>424</v>
      </c>
      <c r="S1188" s="79" t="s">
        <v>339</v>
      </c>
      <c r="T1188" s="298">
        <f>IFERROR(Table6[[#This Row],[Breakdown Time]]*Table6[[#This Row],[Plant Equivalent Weightage]],"")</f>
        <v>2.2727272727272707E-2</v>
      </c>
      <c r="U1188" s="79" t="s">
        <v>421</v>
      </c>
      <c r="W1188" s="79">
        <v>1779</v>
      </c>
    </row>
    <row r="1189" spans="1:23">
      <c r="A1189" s="79">
        <f t="shared" si="18"/>
        <v>1188</v>
      </c>
      <c r="B1189" s="79">
        <f>YEAR(Table6[[#This Row],[Date]])+IF(MONTH(Table6[[#This Row],[Date]])&gt;=4,1,0)</f>
        <v>2026</v>
      </c>
      <c r="C1189" s="79">
        <f>YEAR(Table6[[#This Row],[Date]])</f>
        <v>2025</v>
      </c>
      <c r="D1189" s="79" t="s">
        <v>344</v>
      </c>
      <c r="E1189" s="284">
        <f>Table6[[#This Row],[Date]]-DAY(Table6[[#This Row],[Date]])+1</f>
        <v>45839</v>
      </c>
      <c r="F1189" s="285">
        <v>45864</v>
      </c>
      <c r="G1189" s="79" t="s">
        <v>89</v>
      </c>
      <c r="H1189" s="79" t="str">
        <f>IFERROR(_xlfn.XLOOKUP(Table6[[#This Row],[Affected Feeder ]],'Basic Data'!$A:$A,'Basic Data'!$B:$B),"")</f>
        <v>PWEPL</v>
      </c>
      <c r="I1189" s="79" t="str">
        <f>IFERROR(_xlfn.XLOOKUP(Table6[[#This Row],[Affected Feeder ]],'Basic Data'!$A:$A,'Basic Data'!$C:$C),"")</f>
        <v>MSEDCL</v>
      </c>
      <c r="J1189" s="295">
        <f>IFERROR(_xlfn.XLOOKUP(Table6[[#This Row],[Affected Feeder ]],'Basic Data'!$A:$A,'Basic Data'!$E:$E),"")</f>
        <v>2.2727272727272728E-2</v>
      </c>
      <c r="K1189" s="296" t="s">
        <v>171</v>
      </c>
      <c r="L1189" s="297">
        <v>0.48819444444444443</v>
      </c>
      <c r="M1189" s="297">
        <v>0.48819444444444443</v>
      </c>
      <c r="N1189" s="297">
        <v>0.49513888888888885</v>
      </c>
      <c r="O1189" s="298">
        <f>(Table6[[#This Row],[Work Start TimeStamp]]-Table6[[#This Row],[Fault Start TimeStamp]])*24</f>
        <v>0</v>
      </c>
      <c r="P1189" s="298">
        <f>(Table6[[#This Row],[Fault Clearance time]]-Table6[[#This Row],[Fault Start TimeStamp]])*24</f>
        <v>0.16666666666666607</v>
      </c>
      <c r="Q1189" s="298">
        <f>(Table6[[#This Row],[Fault Clearance time]]-Table6[[#This Row],[Fault Start TimeStamp]])*24</f>
        <v>0.16666666666666607</v>
      </c>
      <c r="R1189" s="79" t="s">
        <v>353</v>
      </c>
      <c r="S1189" s="79" t="s">
        <v>339</v>
      </c>
      <c r="T1189" s="298">
        <f>IFERROR(Table6[[#This Row],[Breakdown Time]]*Table6[[#This Row],[Plant Equivalent Weightage]],"")</f>
        <v>3.7878787878787745E-3</v>
      </c>
      <c r="U1189" s="79" t="s">
        <v>421</v>
      </c>
      <c r="W1189" s="79">
        <v>355</v>
      </c>
    </row>
    <row r="1190" spans="1:23">
      <c r="A1190" s="79">
        <f t="shared" si="18"/>
        <v>1189</v>
      </c>
      <c r="B1190" s="79">
        <f>YEAR(Table6[[#This Row],[Date]])+IF(MONTH(Table6[[#This Row],[Date]])&gt;=4,1,0)</f>
        <v>2026</v>
      </c>
      <c r="C1190" s="79">
        <f>YEAR(Table6[[#This Row],[Date]])</f>
        <v>2025</v>
      </c>
      <c r="D1190" s="79" t="s">
        <v>344</v>
      </c>
      <c r="E1190" s="284">
        <f>Table6[[#This Row],[Date]]-DAY(Table6[[#This Row],[Date]])+1</f>
        <v>45839</v>
      </c>
      <c r="F1190" s="285">
        <v>45864</v>
      </c>
      <c r="G1190" s="79" t="s">
        <v>106</v>
      </c>
      <c r="H1190" s="79" t="str">
        <f>IFERROR(_xlfn.XLOOKUP(Table6[[#This Row],[Affected Feeder ]],'Basic Data'!$A:$A,'Basic Data'!$B:$B),"")</f>
        <v>PWEPL</v>
      </c>
      <c r="I1190" s="79" t="str">
        <f>IFERROR(_xlfn.XLOOKUP(Table6[[#This Row],[Affected Feeder ]],'Basic Data'!$A:$A,'Basic Data'!$C:$C),"")</f>
        <v>MSEDCL</v>
      </c>
      <c r="J1190" s="295">
        <f>IFERROR(_xlfn.XLOOKUP(Table6[[#This Row],[Affected Feeder ]],'Basic Data'!$A:$A,'Basic Data'!$E:$E),"")</f>
        <v>2.2727272727272728E-2</v>
      </c>
      <c r="K1190" s="296" t="s">
        <v>796</v>
      </c>
      <c r="L1190" s="297">
        <v>0.4465277777777778</v>
      </c>
      <c r="M1190" s="297">
        <v>0.4465277777777778</v>
      </c>
      <c r="N1190" s="297">
        <v>0.48819444444444443</v>
      </c>
      <c r="O1190" s="298">
        <f>(Table6[[#This Row],[Work Start TimeStamp]]-Table6[[#This Row],[Fault Start TimeStamp]])*24</f>
        <v>0</v>
      </c>
      <c r="P1190" s="298">
        <f>(Table6[[#This Row],[Fault Clearance time]]-Table6[[#This Row],[Fault Start TimeStamp]])*24</f>
        <v>0.99999999999999911</v>
      </c>
      <c r="Q1190" s="298">
        <f>(Table6[[#This Row],[Fault Clearance time]]-Table6[[#This Row],[Fault Start TimeStamp]])*24</f>
        <v>0.99999999999999911</v>
      </c>
      <c r="R1190" s="79" t="s">
        <v>424</v>
      </c>
      <c r="S1190" s="79" t="s">
        <v>339</v>
      </c>
      <c r="T1190" s="298">
        <f>IFERROR(Table6[[#This Row],[Breakdown Time]]*Table6[[#This Row],[Plant Equivalent Weightage]],"")</f>
        <v>2.2727272727272707E-2</v>
      </c>
      <c r="U1190" s="79" t="s">
        <v>421</v>
      </c>
      <c r="W1190" s="79">
        <v>1704</v>
      </c>
    </row>
    <row r="1191" spans="1:23">
      <c r="A1191" s="79">
        <f t="shared" si="18"/>
        <v>1190</v>
      </c>
      <c r="B1191" s="79">
        <f>YEAR(Table6[[#This Row],[Date]])+IF(MONTH(Table6[[#This Row],[Date]])&gt;=4,1,0)</f>
        <v>2026</v>
      </c>
      <c r="C1191" s="79">
        <f>YEAR(Table6[[#This Row],[Date]])</f>
        <v>2025</v>
      </c>
      <c r="D1191" s="79" t="s">
        <v>344</v>
      </c>
      <c r="E1191" s="284">
        <f>Table6[[#This Row],[Date]]-DAY(Table6[[#This Row],[Date]])+1</f>
        <v>45839</v>
      </c>
      <c r="F1191" s="285">
        <v>45864</v>
      </c>
      <c r="G1191" s="79" t="s">
        <v>106</v>
      </c>
      <c r="H1191" s="79" t="str">
        <f>IFERROR(_xlfn.XLOOKUP(Table6[[#This Row],[Affected Feeder ]],'Basic Data'!$A:$A,'Basic Data'!$B:$B),"")</f>
        <v>PWEPL</v>
      </c>
      <c r="I1191" s="79" t="str">
        <f>IFERROR(_xlfn.XLOOKUP(Table6[[#This Row],[Affected Feeder ]],'Basic Data'!$A:$A,'Basic Data'!$C:$C),"")</f>
        <v>MSEDCL</v>
      </c>
      <c r="J1191" s="295">
        <f>IFERROR(_xlfn.XLOOKUP(Table6[[#This Row],[Affected Feeder ]],'Basic Data'!$A:$A,'Basic Data'!$E:$E),"")</f>
        <v>2.2727272727272728E-2</v>
      </c>
      <c r="K1191" s="296" t="s">
        <v>171</v>
      </c>
      <c r="L1191" s="297">
        <v>0.48819444444444443</v>
      </c>
      <c r="M1191" s="297">
        <v>0.48819444444444443</v>
      </c>
      <c r="N1191" s="297">
        <v>0.5</v>
      </c>
      <c r="O1191" s="298">
        <f>(Table6[[#This Row],[Work Start TimeStamp]]-Table6[[#This Row],[Fault Start TimeStamp]])*24</f>
        <v>0</v>
      </c>
      <c r="P1191" s="298">
        <f>(Table6[[#This Row],[Fault Clearance time]]-Table6[[#This Row],[Fault Start TimeStamp]])*24</f>
        <v>0.28333333333333366</v>
      </c>
      <c r="Q1191" s="298">
        <f>(Table6[[#This Row],[Fault Clearance time]]-Table6[[#This Row],[Fault Start TimeStamp]])*24</f>
        <v>0.28333333333333366</v>
      </c>
      <c r="R1191" s="79" t="s">
        <v>353</v>
      </c>
      <c r="S1191" s="79" t="s">
        <v>339</v>
      </c>
      <c r="T1191" s="298">
        <f>IFERROR(Table6[[#This Row],[Breakdown Time]]*Table6[[#This Row],[Plant Equivalent Weightage]],"")</f>
        <v>6.439393939393947E-3</v>
      </c>
      <c r="U1191" s="79" t="s">
        <v>421</v>
      </c>
      <c r="W1191" s="79">
        <v>673</v>
      </c>
    </row>
    <row r="1192" spans="1:23">
      <c r="A1192" s="79">
        <f t="shared" si="18"/>
        <v>1191</v>
      </c>
      <c r="B1192" s="79">
        <f>YEAR(Table6[[#This Row],[Date]])+IF(MONTH(Table6[[#This Row],[Date]])&gt;=4,1,0)</f>
        <v>2026</v>
      </c>
      <c r="C1192" s="79">
        <f>YEAR(Table6[[#This Row],[Date]])</f>
        <v>2025</v>
      </c>
      <c r="D1192" s="79" t="s">
        <v>344</v>
      </c>
      <c r="E1192" s="284">
        <f>Table6[[#This Row],[Date]]-DAY(Table6[[#This Row],[Date]])+1</f>
        <v>45839</v>
      </c>
      <c r="F1192" s="285">
        <v>45864</v>
      </c>
      <c r="G1192" s="79" t="s">
        <v>101</v>
      </c>
      <c r="H1192" s="79" t="str">
        <f>IFERROR(_xlfn.XLOOKUP(Table6[[#This Row],[Affected Feeder ]],'Basic Data'!$A:$A,'Basic Data'!$B:$B),"")</f>
        <v>PWEPL</v>
      </c>
      <c r="I1192" s="79" t="str">
        <f>IFERROR(_xlfn.XLOOKUP(Table6[[#This Row],[Affected Feeder ]],'Basic Data'!$A:$A,'Basic Data'!$C:$C),"")</f>
        <v>MSEDCL</v>
      </c>
      <c r="J1192" s="295">
        <f>IFERROR(_xlfn.XLOOKUP(Table6[[#This Row],[Affected Feeder ]],'Basic Data'!$A:$A,'Basic Data'!$E:$E),"")</f>
        <v>2.2727272727272728E-2</v>
      </c>
      <c r="K1192" s="296" t="s">
        <v>796</v>
      </c>
      <c r="L1192" s="297">
        <v>0.4465277777777778</v>
      </c>
      <c r="M1192" s="297">
        <v>0.4465277777777778</v>
      </c>
      <c r="N1192" s="297">
        <v>0.70624999999999993</v>
      </c>
      <c r="O1192" s="298">
        <f>(Table6[[#This Row],[Work Start TimeStamp]]-Table6[[#This Row],[Fault Start TimeStamp]])*24</f>
        <v>0</v>
      </c>
      <c r="P1192" s="298">
        <f>(Table6[[#This Row],[Fault Clearance time]]-Table6[[#This Row],[Fault Start TimeStamp]])*24</f>
        <v>6.2333333333333307</v>
      </c>
      <c r="Q1192" s="298">
        <f>(Table6[[#This Row],[Fault Clearance time]]-Table6[[#This Row],[Fault Start TimeStamp]])*24</f>
        <v>6.2333333333333307</v>
      </c>
      <c r="R1192" s="79" t="s">
        <v>424</v>
      </c>
      <c r="S1192" s="79" t="s">
        <v>339</v>
      </c>
      <c r="T1192" s="298">
        <f>IFERROR(Table6[[#This Row],[Breakdown Time]]*Table6[[#This Row],[Plant Equivalent Weightage]],"")</f>
        <v>0.14166666666666661</v>
      </c>
      <c r="U1192" s="79" t="s">
        <v>421</v>
      </c>
      <c r="W1192" s="79">
        <v>9274</v>
      </c>
    </row>
    <row r="1193" spans="1:23">
      <c r="A1193" s="79">
        <f t="shared" si="18"/>
        <v>1192</v>
      </c>
      <c r="B1193" s="79">
        <f>YEAR(Table6[[#This Row],[Date]])+IF(MONTH(Table6[[#This Row],[Date]])&gt;=4,1,0)</f>
        <v>2026</v>
      </c>
      <c r="C1193" s="79">
        <f>YEAR(Table6[[#This Row],[Date]])</f>
        <v>2025</v>
      </c>
      <c r="D1193" s="79" t="s">
        <v>344</v>
      </c>
      <c r="E1193" s="284">
        <f>Table6[[#This Row],[Date]]-DAY(Table6[[#This Row],[Date]])+1</f>
        <v>45839</v>
      </c>
      <c r="F1193" s="285">
        <v>45864</v>
      </c>
      <c r="G1193" s="79" t="s">
        <v>101</v>
      </c>
      <c r="H1193" s="79" t="str">
        <f>IFERROR(_xlfn.XLOOKUP(Table6[[#This Row],[Affected Feeder ]],'Basic Data'!$A:$A,'Basic Data'!$B:$B),"")</f>
        <v>PWEPL</v>
      </c>
      <c r="I1193" s="79" t="str">
        <f>IFERROR(_xlfn.XLOOKUP(Table6[[#This Row],[Affected Feeder ]],'Basic Data'!$A:$A,'Basic Data'!$C:$C),"")</f>
        <v>MSEDCL</v>
      </c>
      <c r="J1193" s="295">
        <f>IFERROR(_xlfn.XLOOKUP(Table6[[#This Row],[Affected Feeder ]],'Basic Data'!$A:$A,'Basic Data'!$E:$E),"")</f>
        <v>2.2727272727272728E-2</v>
      </c>
      <c r="K1193" s="296" t="s">
        <v>171</v>
      </c>
      <c r="L1193" s="297">
        <v>0.70624999999999993</v>
      </c>
      <c r="M1193" s="297">
        <v>0.70624999999999993</v>
      </c>
      <c r="N1193" s="297">
        <v>0.72013888888888899</v>
      </c>
      <c r="O1193" s="298">
        <f>(Table6[[#This Row],[Work Start TimeStamp]]-Table6[[#This Row],[Fault Start TimeStamp]])*24</f>
        <v>0</v>
      </c>
      <c r="P1193" s="298">
        <f>(Table6[[#This Row],[Fault Clearance time]]-Table6[[#This Row],[Fault Start TimeStamp]])*24</f>
        <v>0.33333333333333748</v>
      </c>
      <c r="Q1193" s="298">
        <f>(Table6[[#This Row],[Fault Clearance time]]-Table6[[#This Row],[Fault Start TimeStamp]])*24</f>
        <v>0.33333333333333748</v>
      </c>
      <c r="R1193" s="79" t="s">
        <v>353</v>
      </c>
      <c r="S1193" s="79" t="s">
        <v>339</v>
      </c>
      <c r="T1193" s="298">
        <f>IFERROR(Table6[[#This Row],[Breakdown Time]]*Table6[[#This Row],[Plant Equivalent Weightage]],"")</f>
        <v>7.5757575757576705E-3</v>
      </c>
      <c r="U1193" s="79" t="s">
        <v>421</v>
      </c>
      <c r="W1193" s="79">
        <v>524</v>
      </c>
    </row>
    <row r="1194" spans="1:23">
      <c r="A1194" s="79">
        <f t="shared" si="18"/>
        <v>1193</v>
      </c>
      <c r="B1194" s="79">
        <f>YEAR(Table6[[#This Row],[Date]])+IF(MONTH(Table6[[#This Row],[Date]])&gt;=4,1,0)</f>
        <v>2026</v>
      </c>
      <c r="C1194" s="79">
        <f>YEAR(Table6[[#This Row],[Date]])</f>
        <v>2025</v>
      </c>
      <c r="D1194" s="79" t="s">
        <v>344</v>
      </c>
      <c r="E1194" s="284">
        <f>Table6[[#This Row],[Date]]-DAY(Table6[[#This Row],[Date]])+1</f>
        <v>45839</v>
      </c>
      <c r="F1194" s="285">
        <v>45864</v>
      </c>
      <c r="G1194" s="79" t="s">
        <v>112</v>
      </c>
      <c r="H1194" s="79" t="str">
        <f>IFERROR(_xlfn.XLOOKUP(Table6[[#This Row],[Affected Feeder ]],'Basic Data'!$A:$A,'Basic Data'!$B:$B),"")</f>
        <v>PWEPL</v>
      </c>
      <c r="I1194" s="79" t="str">
        <f>IFERROR(_xlfn.XLOOKUP(Table6[[#This Row],[Affected Feeder ]],'Basic Data'!$A:$A,'Basic Data'!$C:$C),"")</f>
        <v>MSEDCL</v>
      </c>
      <c r="J1194" s="295">
        <f>IFERROR(_xlfn.XLOOKUP(Table6[[#This Row],[Affected Feeder ]],'Basic Data'!$A:$A,'Basic Data'!$E:$E),"")</f>
        <v>2.2727272727272728E-2</v>
      </c>
      <c r="K1194" s="296" t="s">
        <v>796</v>
      </c>
      <c r="L1194" s="297">
        <v>0.4465277777777778</v>
      </c>
      <c r="M1194" s="297">
        <v>0.4465277777777778</v>
      </c>
      <c r="N1194" s="297">
        <v>0.49652777777777773</v>
      </c>
      <c r="O1194" s="298">
        <f>(Table6[[#This Row],[Work Start TimeStamp]]-Table6[[#This Row],[Fault Start TimeStamp]])*24</f>
        <v>0</v>
      </c>
      <c r="P1194" s="298">
        <f>(Table6[[#This Row],[Fault Clearance time]]-Table6[[#This Row],[Fault Start TimeStamp]])*24</f>
        <v>1.1999999999999984</v>
      </c>
      <c r="Q1194" s="298">
        <f>(Table6[[#This Row],[Fault Clearance time]]-Table6[[#This Row],[Fault Start TimeStamp]])*24</f>
        <v>1.1999999999999984</v>
      </c>
      <c r="R1194" s="79" t="s">
        <v>424</v>
      </c>
      <c r="S1194" s="79" t="s">
        <v>339</v>
      </c>
      <c r="T1194" s="298">
        <f>IFERROR(Table6[[#This Row],[Breakdown Time]]*Table6[[#This Row],[Plant Equivalent Weightage]],"")</f>
        <v>2.7272727272727237E-2</v>
      </c>
      <c r="U1194" s="79" t="s">
        <v>421</v>
      </c>
      <c r="W1194" s="79">
        <v>703</v>
      </c>
    </row>
    <row r="1195" spans="1:23">
      <c r="A1195" s="79">
        <f t="shared" si="18"/>
        <v>1194</v>
      </c>
      <c r="B1195" s="79">
        <f>YEAR(Table6[[#This Row],[Date]])+IF(MONTH(Table6[[#This Row],[Date]])&gt;=4,1,0)</f>
        <v>2026</v>
      </c>
      <c r="C1195" s="79">
        <f>YEAR(Table6[[#This Row],[Date]])</f>
        <v>2025</v>
      </c>
      <c r="D1195" s="79" t="s">
        <v>344</v>
      </c>
      <c r="E1195" s="284">
        <f>Table6[[#This Row],[Date]]-DAY(Table6[[#This Row],[Date]])+1</f>
        <v>45839</v>
      </c>
      <c r="F1195" s="285">
        <v>45864</v>
      </c>
      <c r="G1195" s="79" t="s">
        <v>112</v>
      </c>
      <c r="H1195" s="79" t="str">
        <f>IFERROR(_xlfn.XLOOKUP(Table6[[#This Row],[Affected Feeder ]],'Basic Data'!$A:$A,'Basic Data'!$B:$B),"")</f>
        <v>PWEPL</v>
      </c>
      <c r="I1195" s="79" t="str">
        <f>IFERROR(_xlfn.XLOOKUP(Table6[[#This Row],[Affected Feeder ]],'Basic Data'!$A:$A,'Basic Data'!$C:$C),"")</f>
        <v>MSEDCL</v>
      </c>
      <c r="J1195" s="295">
        <f>IFERROR(_xlfn.XLOOKUP(Table6[[#This Row],[Affected Feeder ]],'Basic Data'!$A:$A,'Basic Data'!$E:$E),"")</f>
        <v>2.2727272727272728E-2</v>
      </c>
      <c r="K1195" s="296" t="s">
        <v>171</v>
      </c>
      <c r="L1195" s="297">
        <v>0.49652777777777773</v>
      </c>
      <c r="M1195" s="297">
        <v>0.49652777777777773</v>
      </c>
      <c r="N1195" s="297">
        <v>0.51041666666666663</v>
      </c>
      <c r="O1195" s="298">
        <f>(Table6[[#This Row],[Work Start TimeStamp]]-Table6[[#This Row],[Fault Start TimeStamp]])*24</f>
        <v>0</v>
      </c>
      <c r="P1195" s="298">
        <f>(Table6[[#This Row],[Fault Clearance time]]-Table6[[#This Row],[Fault Start TimeStamp]])*24</f>
        <v>0.33333333333333348</v>
      </c>
      <c r="Q1195" s="298">
        <f>(Table6[[#This Row],[Fault Clearance time]]-Table6[[#This Row],[Fault Start TimeStamp]])*24</f>
        <v>0.33333333333333348</v>
      </c>
      <c r="R1195" s="79" t="s">
        <v>353</v>
      </c>
      <c r="S1195" s="79" t="s">
        <v>339</v>
      </c>
      <c r="T1195" s="298">
        <f>IFERROR(Table6[[#This Row],[Breakdown Time]]*Table6[[#This Row],[Plant Equivalent Weightage]],"")</f>
        <v>7.5757575757575794E-3</v>
      </c>
      <c r="U1195" s="79" t="s">
        <v>421</v>
      </c>
      <c r="W1195" s="79">
        <v>270</v>
      </c>
    </row>
    <row r="1196" spans="1:23">
      <c r="A1196" s="79">
        <f t="shared" si="18"/>
        <v>1195</v>
      </c>
      <c r="B1196" s="79">
        <f>YEAR(Table6[[#This Row],[Date]])+IF(MONTH(Table6[[#This Row],[Date]])&gt;=4,1,0)</f>
        <v>2026</v>
      </c>
      <c r="C1196" s="79">
        <f>YEAR(Table6[[#This Row],[Date]])</f>
        <v>2025</v>
      </c>
      <c r="D1196" s="79" t="s">
        <v>344</v>
      </c>
      <c r="E1196" s="284">
        <f>Table6[[#This Row],[Date]]-DAY(Table6[[#This Row],[Date]])+1</f>
        <v>45839</v>
      </c>
      <c r="F1196" s="285">
        <v>45866</v>
      </c>
      <c r="G1196" s="79" t="s">
        <v>89</v>
      </c>
      <c r="H1196" s="79" t="str">
        <f>IFERROR(_xlfn.XLOOKUP(Table6[[#This Row],[Affected Feeder ]],'Basic Data'!$A:$A,'Basic Data'!$B:$B),"")</f>
        <v>PWEPL</v>
      </c>
      <c r="I1196" s="79" t="str">
        <f>IFERROR(_xlfn.XLOOKUP(Table6[[#This Row],[Affected Feeder ]],'Basic Data'!$A:$A,'Basic Data'!$C:$C),"")</f>
        <v>MSEDCL</v>
      </c>
      <c r="J1196" s="295">
        <f>IFERROR(_xlfn.XLOOKUP(Table6[[#This Row],[Affected Feeder ]],'Basic Data'!$A:$A,'Basic Data'!$E:$E),"")</f>
        <v>2.2727272727272728E-2</v>
      </c>
      <c r="K1196" s="296" t="s">
        <v>796</v>
      </c>
      <c r="L1196" s="297">
        <v>0.3263888888888889</v>
      </c>
      <c r="M1196" s="297">
        <v>0.3263888888888889</v>
      </c>
      <c r="N1196" s="297">
        <v>0.3888888888888889</v>
      </c>
      <c r="O1196" s="298">
        <f>(Table6[[#This Row],[Work Start TimeStamp]]-Table6[[#This Row],[Fault Start TimeStamp]])*24</f>
        <v>0</v>
      </c>
      <c r="P1196" s="298">
        <f>(Table6[[#This Row],[Fault Clearance time]]-Table6[[#This Row],[Fault Start TimeStamp]])*24</f>
        <v>1.5</v>
      </c>
      <c r="Q1196" s="298">
        <f>(Table6[[#This Row],[Fault Clearance time]]-Table6[[#This Row],[Fault Start TimeStamp]])*24</f>
        <v>1.5</v>
      </c>
      <c r="R1196" s="79" t="s">
        <v>1009</v>
      </c>
      <c r="S1196" s="79" t="s">
        <v>339</v>
      </c>
      <c r="T1196" s="298">
        <f>IFERROR(Table6[[#This Row],[Breakdown Time]]*Table6[[#This Row],[Plant Equivalent Weightage]],"")</f>
        <v>3.4090909090909088E-2</v>
      </c>
      <c r="U1196" s="79" t="s">
        <v>421</v>
      </c>
      <c r="W1196" s="79">
        <v>2546</v>
      </c>
    </row>
    <row r="1197" spans="1:23">
      <c r="A1197" s="79">
        <f t="shared" si="18"/>
        <v>1196</v>
      </c>
      <c r="B1197" s="79">
        <f>YEAR(Table6[[#This Row],[Date]])+IF(MONTH(Table6[[#This Row],[Date]])&gt;=4,1,0)</f>
        <v>2026</v>
      </c>
      <c r="C1197" s="79">
        <f>YEAR(Table6[[#This Row],[Date]])</f>
        <v>2025</v>
      </c>
      <c r="D1197" s="79" t="s">
        <v>344</v>
      </c>
      <c r="E1197" s="284">
        <f>Table6[[#This Row],[Date]]-DAY(Table6[[#This Row],[Date]])+1</f>
        <v>45839</v>
      </c>
      <c r="F1197" s="285">
        <v>45866</v>
      </c>
      <c r="G1197" s="79" t="s">
        <v>89</v>
      </c>
      <c r="H1197" s="79" t="str">
        <f>IFERROR(_xlfn.XLOOKUP(Table6[[#This Row],[Affected Feeder ]],'Basic Data'!$A:$A,'Basic Data'!$B:$B),"")</f>
        <v>PWEPL</v>
      </c>
      <c r="I1197" s="79" t="str">
        <f>IFERROR(_xlfn.XLOOKUP(Table6[[#This Row],[Affected Feeder ]],'Basic Data'!$A:$A,'Basic Data'!$C:$C),"")</f>
        <v>MSEDCL</v>
      </c>
      <c r="J1197" s="295">
        <f>IFERROR(_xlfn.XLOOKUP(Table6[[#This Row],[Affected Feeder ]],'Basic Data'!$A:$A,'Basic Data'!$E:$E),"")</f>
        <v>2.2727272727272728E-2</v>
      </c>
      <c r="K1197" s="296" t="s">
        <v>171</v>
      </c>
      <c r="L1197" s="297">
        <v>0.3888888888888889</v>
      </c>
      <c r="M1197" s="297">
        <v>0.3888888888888889</v>
      </c>
      <c r="N1197" s="297">
        <v>0.3923611111111111</v>
      </c>
      <c r="O1197" s="298">
        <f>(Table6[[#This Row],[Work Start TimeStamp]]-Table6[[#This Row],[Fault Start TimeStamp]])*24</f>
        <v>0</v>
      </c>
      <c r="P1197" s="298">
        <f>(Table6[[#This Row],[Fault Clearance time]]-Table6[[#This Row],[Fault Start TimeStamp]])*24</f>
        <v>8.3333333333333037E-2</v>
      </c>
      <c r="Q1197" s="298">
        <f>(Table6[[#This Row],[Fault Clearance time]]-Table6[[#This Row],[Fault Start TimeStamp]])*24</f>
        <v>8.3333333333333037E-2</v>
      </c>
      <c r="R1197" s="79" t="s">
        <v>353</v>
      </c>
      <c r="S1197" s="79" t="s">
        <v>339</v>
      </c>
      <c r="T1197" s="298">
        <f>IFERROR(Table6[[#This Row],[Breakdown Time]]*Table6[[#This Row],[Plant Equivalent Weightage]],"")</f>
        <v>1.8939393939393873E-3</v>
      </c>
      <c r="U1197" s="79" t="s">
        <v>421</v>
      </c>
      <c r="W1197" s="79">
        <v>150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24" sqref="K24"/>
    </sheetView>
  </sheetViews>
  <sheetFormatPr defaultRowHeight="14.5"/>
  <cols>
    <col min="6" max="6" width="10.90625" customWidth="1"/>
    <col min="11" max="11" width="65" bestFit="1" customWidth="1"/>
    <col min="19" max="19" width="51.08984375" bestFit="1" customWidth="1"/>
    <col min="22" max="22" width="24.54296875" bestFit="1" customWidth="1"/>
    <col min="23" max="24" width="13.63281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6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5" spans="1:29">
      <c r="A15" s="79">
        <f t="shared" si="0"/>
        <v>14</v>
      </c>
      <c r="B15" s="79">
        <f>YEAR(Table9[[#This Row],[Date]])+IF(MONTH(Table9[[#This Row],[Date]])&gt;=4,1,0)</f>
        <v>2026</v>
      </c>
      <c r="C15" s="79">
        <f>YEAR(Table9[[#This Row],[Date]])</f>
        <v>2025</v>
      </c>
      <c r="D15" s="79" t="s">
        <v>344</v>
      </c>
      <c r="E15" s="284">
        <f>Table9[[#This Row],[Date]]-DAY(Table9[[#This Row],[Date]])+1</f>
        <v>45839</v>
      </c>
      <c r="F15" s="285">
        <v>45860</v>
      </c>
      <c r="G15" t="s">
        <v>405</v>
      </c>
      <c r="H15" t="str">
        <f>IFERROR(_xlfn.XLOOKUP(Table9[[#This Row],[Affected Feeder ]],'Basic Data'!$A:$A,'Basic Data'!$B:$B),"")</f>
        <v>PWEPL</v>
      </c>
      <c r="I15" t="str">
        <f>IFERROR(_xlfn.XLOOKUP(Table9[[#This Row],[Affected Feeder ]],'Basic Data'!$A:$A,'Basic Data'!$C:$C),"")</f>
        <v>MSEDCL</v>
      </c>
      <c r="J15" s="356">
        <f>IFERROR(_xlfn.XLOOKUP(Table9[[#This Row],[Affected Feeder ]],'Basic Data'!$A:$A,'Basic Data'!$E:$E),"")</f>
        <v>0.20454545454545453</v>
      </c>
      <c r="K15" t="s">
        <v>987</v>
      </c>
      <c r="M15" s="299">
        <v>0.44097222222222227</v>
      </c>
      <c r="N15" s="300">
        <v>0.44097222222222227</v>
      </c>
      <c r="O15" s="300">
        <v>0.51041666666666663</v>
      </c>
      <c r="P15" s="357">
        <f>(Table9[[#This Row],[Work Start TimeStamp]]-Table9[[#This Row],[Fault Start TimeStamp]])*24</f>
        <v>0</v>
      </c>
      <c r="Q15" s="357">
        <f>IF(Table9[[#This Row],[Work Start TimeStamp]]="","",(Table9[[#This Row],[Fault Clearance time]]-Table9[[#This Row],[Work Start TimeStamp]])*24)</f>
        <v>1.6666666666666647</v>
      </c>
      <c r="R15" s="357">
        <f>(Table9[[#This Row],[Fault Clearance time]]-Table9[[#This Row],[Fault Start TimeStamp]])*24</f>
        <v>1.6666666666666647</v>
      </c>
      <c r="S15" s="358" t="s">
        <v>988</v>
      </c>
      <c r="T15" s="1" t="s">
        <v>339</v>
      </c>
      <c r="U15" s="359">
        <f>IFERROR(Table9[[#This Row],[Breakdown Time]]*Table9[[#This Row],[Plant Equivalent Weightage]],"")</f>
        <v>0.3409090909090905</v>
      </c>
      <c r="V15" s="302" t="s">
        <v>403</v>
      </c>
      <c r="W15" s="302" t="s">
        <v>402</v>
      </c>
      <c r="X15" s="359"/>
      <c r="Y15">
        <v>9275</v>
      </c>
      <c r="AA1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6" spans="1:29">
      <c r="A16" s="79">
        <f t="shared" si="0"/>
        <v>15</v>
      </c>
      <c r="B16" s="79">
        <f>YEAR(Table9[[#This Row],[Date]])+IF(MONTH(Table9[[#This Row],[Date]])&gt;=4,1,0)</f>
        <v>2026</v>
      </c>
      <c r="C16" s="79">
        <f>YEAR(Table9[[#This Row],[Date]])</f>
        <v>2025</v>
      </c>
      <c r="D16" s="79" t="s">
        <v>344</v>
      </c>
      <c r="E16" s="284">
        <f>Table9[[#This Row],[Date]]-DAY(Table9[[#This Row],[Date]])+1</f>
        <v>45839</v>
      </c>
      <c r="F16" s="285">
        <v>45860</v>
      </c>
      <c r="G16" t="s">
        <v>406</v>
      </c>
      <c r="H16" t="str">
        <f>IFERROR(_xlfn.XLOOKUP(Table9[[#This Row],[Affected Feeder ]],'Basic Data'!$A:$A,'Basic Data'!$B:$B),"")</f>
        <v>PWEPL</v>
      </c>
      <c r="I16" t="str">
        <f>IFERROR(_xlfn.XLOOKUP(Table9[[#This Row],[Affected Feeder ]],'Basic Data'!$A:$A,'Basic Data'!$C:$C),"")</f>
        <v>MSEDCL</v>
      </c>
      <c r="J16" s="356">
        <f>IFERROR(_xlfn.XLOOKUP(Table9[[#This Row],[Affected Feeder ]],'Basic Data'!$A:$A,'Basic Data'!$E:$E),"")</f>
        <v>0.29545454545454541</v>
      </c>
      <c r="K16" t="s">
        <v>987</v>
      </c>
      <c r="M16" s="299">
        <v>0.4993055555555555</v>
      </c>
      <c r="N16" s="300">
        <v>0.4993055555555555</v>
      </c>
      <c r="O16" s="300">
        <v>0.54513888888888895</v>
      </c>
      <c r="P16" s="357">
        <f>(Table9[[#This Row],[Work Start TimeStamp]]-Table9[[#This Row],[Fault Start TimeStamp]])*24</f>
        <v>0</v>
      </c>
      <c r="Q16" s="357">
        <f>IF(Table9[[#This Row],[Work Start TimeStamp]]="","",(Table9[[#This Row],[Fault Clearance time]]-Table9[[#This Row],[Work Start TimeStamp]])*24)</f>
        <v>1.1000000000000028</v>
      </c>
      <c r="R16" s="357">
        <f>(Table9[[#This Row],[Fault Clearance time]]-Table9[[#This Row],[Fault Start TimeStamp]])*24</f>
        <v>1.1000000000000028</v>
      </c>
      <c r="S16" s="358" t="s">
        <v>988</v>
      </c>
      <c r="T16" s="1" t="s">
        <v>339</v>
      </c>
      <c r="U16" s="359">
        <f>IFERROR(Table9[[#This Row],[Breakdown Time]]*Table9[[#This Row],[Plant Equivalent Weightage]],"")</f>
        <v>0.32500000000000079</v>
      </c>
      <c r="V16" s="302" t="s">
        <v>403</v>
      </c>
      <c r="W16" s="302" t="s">
        <v>402</v>
      </c>
      <c r="X16" s="359"/>
      <c r="Y16">
        <v>8504</v>
      </c>
      <c r="AA1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6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10" activePane="bottomRight" state="frozen"/>
      <selection pane="topRight" activeCell="E1" sqref="E1"/>
      <selection pane="bottomLeft" activeCell="A3" sqref="A3"/>
      <selection pane="bottomRight" activeCell="L128" sqref="L128"/>
    </sheetView>
  </sheetViews>
  <sheetFormatPr defaultColWidth="8.54296875" defaultRowHeight="14.5"/>
  <cols>
    <col min="1" max="1" width="10.08984375" style="108" bestFit="1" customWidth="1"/>
    <col min="2" max="2" width="12.08984375" style="108" customWidth="1"/>
    <col min="3" max="3" width="12.453125" style="108" customWidth="1"/>
    <col min="4" max="4" width="10.9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4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E118" s="108">
        <v>3976.564166666667</v>
      </c>
      <c r="F118" s="108">
        <v>3081.8138333333318</v>
      </c>
      <c r="G118" s="108">
        <v>3161.2536666666656</v>
      </c>
      <c r="H118" s="108">
        <v>3069.7893333333327</v>
      </c>
      <c r="I118" s="108">
        <v>4025.812833333332</v>
      </c>
      <c r="J118" s="108">
        <v>3137.3406666666665</v>
      </c>
      <c r="K118" s="108">
        <v>2735.9838333333337</v>
      </c>
      <c r="L118" s="108">
        <v>2230.5129999999995</v>
      </c>
      <c r="M118" s="108">
        <v>1858.4585</v>
      </c>
      <c r="N118" s="108">
        <v>2459.1895000000013</v>
      </c>
      <c r="O118" s="108">
        <v>3049.428166666667</v>
      </c>
      <c r="P118" s="108">
        <v>3117.2256666666667</v>
      </c>
      <c r="Q118" s="108">
        <v>2665.8980000000006</v>
      </c>
      <c r="R118" s="108">
        <v>2644.7849999999994</v>
      </c>
      <c r="S118" s="108">
        <v>2387.4505000000004</v>
      </c>
      <c r="T118" s="108">
        <v>2693.0761666666663</v>
      </c>
      <c r="U118" s="108">
        <v>2927.5893333333329</v>
      </c>
      <c r="V118" s="108">
        <v>3001.0529999999999</v>
      </c>
      <c r="W118" s="108">
        <v>2434.6498333333334</v>
      </c>
      <c r="X118" s="108">
        <v>1921.3666666666675</v>
      </c>
      <c r="Y118" s="108">
        <v>2887.488499999999</v>
      </c>
      <c r="Z118" s="108">
        <v>2791.8286666666663</v>
      </c>
      <c r="AA118" s="108">
        <v>2697.7041666666669</v>
      </c>
      <c r="AB118" s="108">
        <v>3027.9733333333347</v>
      </c>
      <c r="AC118" s="108">
        <v>3157.9909999999995</v>
      </c>
      <c r="AD118" s="108">
        <v>2572.3313333333335</v>
      </c>
      <c r="AE118" s="108">
        <v>2686.0053333333335</v>
      </c>
      <c r="AF118" s="108">
        <v>2240.2323333333329</v>
      </c>
      <c r="AG118" s="108">
        <v>3034.3903333333328</v>
      </c>
      <c r="AH118" s="108">
        <v>2764.3484999999996</v>
      </c>
      <c r="AI118" s="108">
        <v>2716.3268333333331</v>
      </c>
      <c r="AJ118" s="108">
        <v>2061.8121666666671</v>
      </c>
      <c r="AK118" s="108">
        <v>3942.1255000000001</v>
      </c>
      <c r="AL118" s="108">
        <v>3364.6366666666654</v>
      </c>
      <c r="AM118" s="108">
        <v>2099.5544999999997</v>
      </c>
      <c r="AN118" s="108">
        <v>4067.1599999999994</v>
      </c>
      <c r="AO118" s="108">
        <v>4061.0393333333359</v>
      </c>
      <c r="AP118" s="108">
        <v>3384.9953333333337</v>
      </c>
      <c r="AQ118" s="108">
        <v>3857.9875000000015</v>
      </c>
      <c r="AR118" s="108">
        <v>3035.4591666666679</v>
      </c>
      <c r="AS118" s="108">
        <v>3389.7745000000014</v>
      </c>
      <c r="AT118" s="108">
        <v>3154.6653333333343</v>
      </c>
      <c r="AU118" s="108">
        <v>4086.3754999999983</v>
      </c>
      <c r="AV118" s="108">
        <v>3394.8236666666685</v>
      </c>
      <c r="AW118" s="108">
        <f t="shared" si="7"/>
        <v>131.05627116666665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E119" s="108">
        <v>5506.0808333333343</v>
      </c>
      <c r="F119" s="108">
        <v>4582.4034999999985</v>
      </c>
      <c r="G119" s="108">
        <v>4767.4015000000009</v>
      </c>
      <c r="H119" s="108">
        <v>4632.9499999999989</v>
      </c>
      <c r="I119" s="108">
        <v>5732.2013333333343</v>
      </c>
      <c r="J119" s="108">
        <v>4910.6876666666676</v>
      </c>
      <c r="K119" s="108">
        <v>4564.7636666666667</v>
      </c>
      <c r="L119" s="108">
        <v>3905.4745000000016</v>
      </c>
      <c r="M119" s="108">
        <v>3179.7713333333327</v>
      </c>
      <c r="N119" s="108">
        <v>4132.482666666665</v>
      </c>
      <c r="O119" s="108">
        <v>4907.312666666664</v>
      </c>
      <c r="P119" s="108">
        <v>5042.725833333333</v>
      </c>
      <c r="Q119" s="108">
        <v>4668.6386666666667</v>
      </c>
      <c r="R119" s="108">
        <v>4271.1469999999999</v>
      </c>
      <c r="S119" s="108">
        <v>3997.0756666666657</v>
      </c>
      <c r="T119" s="108">
        <v>4305.5201666666671</v>
      </c>
      <c r="U119" s="108">
        <v>4478.6264999999976</v>
      </c>
      <c r="V119" s="108">
        <v>4641.5869999999986</v>
      </c>
      <c r="W119" s="108">
        <v>3890.2443333333335</v>
      </c>
      <c r="X119" s="108">
        <v>3210.7484999999997</v>
      </c>
      <c r="Y119" s="108">
        <v>4580.8820000000005</v>
      </c>
      <c r="Z119" s="108">
        <v>4288.1998333333331</v>
      </c>
      <c r="AA119" s="108">
        <v>4289.4080000000004</v>
      </c>
      <c r="AB119" s="108">
        <v>4588.3579999999993</v>
      </c>
      <c r="AC119" s="108">
        <v>4898.3138333333327</v>
      </c>
      <c r="AD119" s="108">
        <v>4356.1306666666678</v>
      </c>
      <c r="AE119" s="108">
        <v>4391.6649999999991</v>
      </c>
      <c r="AF119" s="108">
        <v>3615.4213333333332</v>
      </c>
      <c r="AG119" s="108">
        <v>4468.0889999999981</v>
      </c>
      <c r="AH119" s="108">
        <v>4298.4953333333342</v>
      </c>
      <c r="AI119" s="108">
        <v>4370.7031666666653</v>
      </c>
      <c r="AJ119" s="108">
        <v>3490.8046666666669</v>
      </c>
      <c r="AK119" s="108">
        <v>5575.5693333333329</v>
      </c>
      <c r="AL119" s="108">
        <v>5182.029999999997</v>
      </c>
      <c r="AM119" s="108">
        <v>3519.6569999999992</v>
      </c>
      <c r="AN119" s="108">
        <v>5696.8004999999985</v>
      </c>
      <c r="AO119" s="108">
        <v>5729.3488333333335</v>
      </c>
      <c r="AP119" s="108">
        <v>5303.9646666666677</v>
      </c>
      <c r="AQ119" s="108">
        <v>5555.5985000000001</v>
      </c>
      <c r="AR119" s="108">
        <v>4763.8968333333323</v>
      </c>
      <c r="AS119" s="108">
        <v>5105.915</v>
      </c>
      <c r="AT119" s="108">
        <v>4893.3205000000007</v>
      </c>
      <c r="AU119" s="108">
        <v>5677.781500000001</v>
      </c>
      <c r="AV119" s="108">
        <v>5140.658333333331</v>
      </c>
      <c r="AW119" s="108">
        <f t="shared" si="7"/>
        <v>203.10885516666661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E120" s="108">
        <v>6066.0800000000008</v>
      </c>
      <c r="F120" s="108">
        <v>5122.554000000001</v>
      </c>
      <c r="G120" s="108">
        <v>4510.7848333333322</v>
      </c>
      <c r="H120" s="108">
        <v>5551.8394999999982</v>
      </c>
      <c r="I120" s="108">
        <v>5898.2081666666627</v>
      </c>
      <c r="J120" s="108">
        <v>5661.5650000000023</v>
      </c>
      <c r="K120" s="108">
        <v>5668.7465000000002</v>
      </c>
      <c r="L120" s="108">
        <v>4782.1881666666677</v>
      </c>
      <c r="M120" s="108">
        <v>3572.7543333333342</v>
      </c>
      <c r="N120" s="108">
        <v>4233.4300000000012</v>
      </c>
      <c r="O120" s="108">
        <v>5586.3748333333315</v>
      </c>
      <c r="P120" s="108">
        <v>5448.3968333333296</v>
      </c>
      <c r="Q120" s="108">
        <v>6362.1498333333284</v>
      </c>
      <c r="R120" s="108">
        <v>5435.7623333333295</v>
      </c>
      <c r="S120" s="108">
        <v>4836.5586666666695</v>
      </c>
      <c r="T120" s="108">
        <v>4930.3734999999951</v>
      </c>
      <c r="U120" s="108">
        <v>5532.9674999999952</v>
      </c>
      <c r="V120" s="108">
        <v>4826.0948333333326</v>
      </c>
      <c r="W120" s="108">
        <v>4653.378499999998</v>
      </c>
      <c r="X120" s="108">
        <v>3956.7714999999957</v>
      </c>
      <c r="Y120" s="108">
        <v>5522.0003333333325</v>
      </c>
      <c r="Z120" s="108">
        <v>4482.7570000000005</v>
      </c>
      <c r="AA120" s="108">
        <v>4295.7153333333335</v>
      </c>
      <c r="AB120" s="108">
        <v>5194.3660000000018</v>
      </c>
      <c r="AC120" s="108">
        <v>5609.811333333334</v>
      </c>
      <c r="AD120" s="108">
        <v>5380.0633333333362</v>
      </c>
      <c r="AE120" s="108">
        <v>3764.1236666666678</v>
      </c>
      <c r="AF120" s="108">
        <v>4472.3135000000011</v>
      </c>
      <c r="AG120" s="108">
        <v>5827.809666666667</v>
      </c>
      <c r="AH120" s="108">
        <v>5266.0826666666635</v>
      </c>
      <c r="AI120" s="108">
        <v>5448.6891666666679</v>
      </c>
      <c r="AJ120" s="108">
        <v>4274.2414999999992</v>
      </c>
      <c r="AK120" s="108">
        <v>5591.6171666666669</v>
      </c>
      <c r="AL120" s="108">
        <v>5836.0593333333345</v>
      </c>
      <c r="AM120" s="108">
        <v>4238.0478333333331</v>
      </c>
      <c r="AN120" s="108">
        <v>6458.1213333333326</v>
      </c>
      <c r="AO120" s="108">
        <v>6329.1104999999989</v>
      </c>
      <c r="AP120" s="108">
        <v>5659.4573333333356</v>
      </c>
      <c r="AQ120" s="108">
        <v>6201.0646666666698</v>
      </c>
      <c r="AR120" s="108">
        <v>5114.4026666666659</v>
      </c>
      <c r="AS120" s="108">
        <v>5709.9628333333321</v>
      </c>
      <c r="AT120" s="108">
        <v>5761.6571666666678</v>
      </c>
      <c r="AU120" s="108">
        <v>6591.7738333333318</v>
      </c>
      <c r="AV120" s="108">
        <v>6237.277166666664</v>
      </c>
      <c r="AW120" s="108">
        <f t="shared" si="7"/>
        <v>231.90350416666669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E121" s="108">
        <v>7052.9854999999989</v>
      </c>
      <c r="F121" s="108">
        <v>6638.720166666666</v>
      </c>
      <c r="G121" s="108">
        <v>6435.3031666666675</v>
      </c>
      <c r="H121" s="108">
        <v>6435.2400000000043</v>
      </c>
      <c r="I121" s="108">
        <v>6108.4176666666644</v>
      </c>
      <c r="J121" s="108">
        <v>5584.5361666666649</v>
      </c>
      <c r="K121" s="108">
        <v>6757.6030000000028</v>
      </c>
      <c r="L121" s="108">
        <v>6102.4990000000007</v>
      </c>
      <c r="M121" s="108">
        <v>5107.2900000000018</v>
      </c>
      <c r="N121" s="108">
        <v>5715.9176666666672</v>
      </c>
      <c r="O121" s="108">
        <v>6599.7234999999973</v>
      </c>
      <c r="P121" s="108">
        <v>6996.3283333333356</v>
      </c>
      <c r="Q121" s="108">
        <v>6895.6834999999992</v>
      </c>
      <c r="R121" s="108">
        <v>5664.4001666666636</v>
      </c>
      <c r="S121" s="108">
        <v>5556.372166666667</v>
      </c>
      <c r="T121" s="108">
        <v>5942.4559999999992</v>
      </c>
      <c r="U121" s="108">
        <v>6057.0953333333337</v>
      </c>
      <c r="V121" s="108">
        <v>6526.1565000000001</v>
      </c>
      <c r="W121" s="108">
        <v>5628.9051666666664</v>
      </c>
      <c r="X121" s="108">
        <v>5158.6903333333339</v>
      </c>
      <c r="Y121" s="108">
        <v>5562.8889999999983</v>
      </c>
      <c r="Z121" s="108">
        <v>5112.0920000000015</v>
      </c>
      <c r="AA121" s="108">
        <v>6152.8174999999974</v>
      </c>
      <c r="AB121" s="108">
        <v>6570.2768333333333</v>
      </c>
      <c r="AC121" s="108">
        <v>6382.1511666666665</v>
      </c>
      <c r="AD121" s="108">
        <v>6065.4505000000026</v>
      </c>
      <c r="AE121" s="108">
        <v>5833.5378333333329</v>
      </c>
      <c r="AF121" s="108">
        <v>6167.1125000000002</v>
      </c>
      <c r="AG121" s="108">
        <v>6774.754666666664</v>
      </c>
      <c r="AH121" s="108">
        <v>5406.1118333333334</v>
      </c>
      <c r="AI121" s="108">
        <v>5895.5359999999991</v>
      </c>
      <c r="AJ121" s="108">
        <v>4500.8734999999979</v>
      </c>
      <c r="AK121" s="108">
        <v>5842.9453333333377</v>
      </c>
      <c r="AL121" s="108">
        <v>5929.5578333333297</v>
      </c>
      <c r="AM121" s="108">
        <v>4898.2615000000033</v>
      </c>
      <c r="AN121" s="108">
        <v>5328.1149999999989</v>
      </c>
      <c r="AO121" s="108">
        <v>5228.2951666666677</v>
      </c>
      <c r="AP121" s="108">
        <v>5992.8155000000006</v>
      </c>
      <c r="AQ121" s="108">
        <v>6151.6159999999982</v>
      </c>
      <c r="AR121" s="108">
        <v>6624.1870000000026</v>
      </c>
      <c r="AS121" s="108">
        <v>7035.8868333333385</v>
      </c>
      <c r="AT121" s="108">
        <v>5542.9689999999982</v>
      </c>
      <c r="AU121" s="108">
        <v>7245.367000000002</v>
      </c>
      <c r="AV121" s="108">
        <v>7060.8998333333329</v>
      </c>
      <c r="AW121" s="108">
        <f t="shared" si="7"/>
        <v>266.26884266666673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E122" s="108">
        <v>3311.2814999999996</v>
      </c>
      <c r="F122" s="108">
        <v>3275.9814999999994</v>
      </c>
      <c r="G122" s="108">
        <v>13705.171499999995</v>
      </c>
      <c r="H122" s="108">
        <v>3413.3426666666669</v>
      </c>
      <c r="I122" s="108">
        <v>7225.2454999999982</v>
      </c>
      <c r="J122" s="108">
        <v>4034.5491666666662</v>
      </c>
      <c r="K122" s="108">
        <v>1233.3216666666667</v>
      </c>
      <c r="L122" s="108">
        <v>7044.3906666666662</v>
      </c>
      <c r="M122" s="108">
        <v>6666.577666666667</v>
      </c>
      <c r="N122" s="108">
        <v>6664.3944999999994</v>
      </c>
      <c r="O122" s="108">
        <v>7207.2286666666632</v>
      </c>
      <c r="P122" s="108">
        <v>7314.3658333333342</v>
      </c>
      <c r="Q122" s="108">
        <v>6100.0593333333345</v>
      </c>
      <c r="R122" s="108">
        <v>5713.5951666666651</v>
      </c>
      <c r="S122" s="108">
        <v>4983.1833333333334</v>
      </c>
      <c r="T122" s="108">
        <v>7221.556333333333</v>
      </c>
      <c r="U122" s="108">
        <v>6744.3768333333355</v>
      </c>
      <c r="V122" s="108">
        <v>3422.8893333333326</v>
      </c>
      <c r="W122" s="108">
        <v>4552.7195000000002</v>
      </c>
      <c r="X122" s="108">
        <v>7064.336666666667</v>
      </c>
      <c r="Y122" s="108">
        <v>7249.4378333333325</v>
      </c>
      <c r="Z122" s="108">
        <v>7042.6143333333321</v>
      </c>
      <c r="AA122" s="108">
        <v>7267.7588333333342</v>
      </c>
      <c r="AB122" s="108">
        <v>7271.0820000000022</v>
      </c>
      <c r="AC122" s="108">
        <v>5782.9888333333329</v>
      </c>
      <c r="AD122" s="108">
        <v>5044.0083333333341</v>
      </c>
      <c r="AE122" s="108">
        <v>5718.5858333333317</v>
      </c>
      <c r="AF122" s="108">
        <v>2863.2065000000007</v>
      </c>
      <c r="AG122" s="108">
        <v>7300.3559999999998</v>
      </c>
      <c r="AH122" s="108">
        <v>7266.8014999999978</v>
      </c>
      <c r="AI122" s="108">
        <v>5317.0296666666645</v>
      </c>
      <c r="AJ122" s="108">
        <v>6826.8530000000037</v>
      </c>
      <c r="AK122" s="108">
        <v>7269.7091666666674</v>
      </c>
      <c r="AL122" s="108">
        <v>6387.9684999999999</v>
      </c>
      <c r="AM122" s="108">
        <v>6158.4949999999999</v>
      </c>
      <c r="AN122" s="108">
        <v>6265.0991666666632</v>
      </c>
      <c r="AO122" s="108">
        <v>6776.0155000000041</v>
      </c>
      <c r="AP122" s="108">
        <v>7332.673333333335</v>
      </c>
      <c r="AQ122" s="108">
        <v>7249.5346666666692</v>
      </c>
      <c r="AR122" s="108">
        <v>2920.0336666666667</v>
      </c>
      <c r="AS122" s="108">
        <v>2945.097666666667</v>
      </c>
      <c r="AT122" s="108">
        <v>2840.790500000001</v>
      </c>
      <c r="AU122" s="108">
        <v>3382.6551666666655</v>
      </c>
      <c r="AV122" s="108">
        <v>3420.7088333333345</v>
      </c>
      <c r="AW122" s="108">
        <f t="shared" si="7"/>
        <v>254.79807116666663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E123" s="108">
        <v>7253.1421666666638</v>
      </c>
      <c r="F123" s="108">
        <v>7163.4651666666723</v>
      </c>
      <c r="G123" s="108">
        <v>6899.9243333333325</v>
      </c>
      <c r="H123" s="108">
        <v>5798.5690000000004</v>
      </c>
      <c r="I123" s="108">
        <v>7205.1939999999995</v>
      </c>
      <c r="J123" s="108">
        <v>6370.6565000000019</v>
      </c>
      <c r="K123" s="108">
        <v>7214.0236666666651</v>
      </c>
      <c r="L123" s="108">
        <v>6910.9661666666652</v>
      </c>
      <c r="M123" s="108">
        <v>6378.3413333333338</v>
      </c>
      <c r="N123" s="108">
        <v>6434.0605000000041</v>
      </c>
      <c r="O123" s="108">
        <v>7096.3335000000006</v>
      </c>
      <c r="P123" s="108">
        <v>7182.676333333332</v>
      </c>
      <c r="Q123" s="108">
        <v>4777.8799999999992</v>
      </c>
      <c r="R123" s="108">
        <v>6941.6721666666663</v>
      </c>
      <c r="S123" s="108">
        <v>6679.387999999999</v>
      </c>
      <c r="T123" s="108">
        <v>7089.0980000000018</v>
      </c>
      <c r="U123" s="108">
        <v>6809.6844999999994</v>
      </c>
      <c r="V123" s="108">
        <v>7093.4025000000001</v>
      </c>
      <c r="W123" s="108">
        <v>7168.7558333333354</v>
      </c>
      <c r="X123" s="108">
        <v>7006.6448333333319</v>
      </c>
      <c r="Y123" s="108">
        <v>7205.9216666666689</v>
      </c>
      <c r="Z123" s="108">
        <v>6766.6064999999944</v>
      </c>
      <c r="AA123" s="108">
        <v>7097.2449999999999</v>
      </c>
      <c r="AB123" s="108">
        <v>7131.1383333333315</v>
      </c>
      <c r="AC123" s="108">
        <v>7199.9890000000005</v>
      </c>
      <c r="AD123" s="108">
        <v>7217.8334999999997</v>
      </c>
      <c r="AE123" s="108">
        <v>6607.670666666666</v>
      </c>
      <c r="AF123" s="108">
        <v>6920.8316666666678</v>
      </c>
      <c r="AG123" s="108">
        <v>7230.6659999999965</v>
      </c>
      <c r="AH123" s="108">
        <v>7127.1388333333343</v>
      </c>
      <c r="AI123" s="108">
        <v>7206.4671666666663</v>
      </c>
      <c r="AJ123" s="108">
        <v>6829.0055000000002</v>
      </c>
      <c r="AK123" s="108">
        <v>7208.4123333333309</v>
      </c>
      <c r="AL123" s="108">
        <v>7236.1096666666681</v>
      </c>
      <c r="AM123" s="108">
        <v>6872.2076666666662</v>
      </c>
      <c r="AN123" s="108">
        <v>7299.2735000000021</v>
      </c>
      <c r="AO123" s="108">
        <v>6992.9813333333295</v>
      </c>
      <c r="AP123" s="108">
        <v>7235.1249999999991</v>
      </c>
      <c r="AQ123" s="108">
        <v>7277.0355000000009</v>
      </c>
      <c r="AR123" s="108">
        <v>7049.6835000000001</v>
      </c>
      <c r="AS123" s="108">
        <v>7268.5008333333326</v>
      </c>
      <c r="AT123" s="108">
        <v>7279.3470000000043</v>
      </c>
      <c r="AU123" s="108">
        <v>7322.6131666666661</v>
      </c>
      <c r="AV123" s="108">
        <v>7313.6581666666652</v>
      </c>
      <c r="AW123" s="108">
        <f t="shared" si="7"/>
        <v>306.36933999999997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E124" s="108">
        <v>2052.4486666666658</v>
      </c>
      <c r="F124" s="108">
        <v>1954.2971666666672</v>
      </c>
      <c r="G124" s="108">
        <v>1855.4488333333336</v>
      </c>
      <c r="H124" s="108">
        <v>2005.6774999999998</v>
      </c>
      <c r="I124" s="108">
        <v>2078.7793333333329</v>
      </c>
      <c r="J124" s="108">
        <v>2042.5996666666663</v>
      </c>
      <c r="K124" s="108">
        <v>2004.78</v>
      </c>
      <c r="L124" s="108">
        <v>1872.5016666666668</v>
      </c>
      <c r="M124" s="108">
        <v>1827.0456666666669</v>
      </c>
      <c r="N124" s="108">
        <v>1859.7268333333329</v>
      </c>
      <c r="O124" s="108">
        <v>2052.8759999999997</v>
      </c>
      <c r="P124" s="108">
        <v>2111.8240000000001</v>
      </c>
      <c r="Q124" s="108">
        <v>2114.4171666666666</v>
      </c>
      <c r="R124" s="108">
        <v>1877.4529999999997</v>
      </c>
      <c r="S124" s="108">
        <v>1848.6943333333331</v>
      </c>
      <c r="T124" s="108">
        <v>1978.78</v>
      </c>
      <c r="U124" s="108">
        <v>2070.5258333333336</v>
      </c>
      <c r="V124" s="108">
        <v>1957.5034999999996</v>
      </c>
      <c r="W124" s="108">
        <v>803.83883333333335</v>
      </c>
      <c r="X124" s="108">
        <v>1913.5975000000001</v>
      </c>
      <c r="Y124" s="108">
        <v>2031.4068333333335</v>
      </c>
      <c r="Z124" s="108">
        <v>1690.4171666666671</v>
      </c>
      <c r="AA124" s="108">
        <v>1933.5788333333337</v>
      </c>
      <c r="AB124" s="108">
        <v>2034.3156666666664</v>
      </c>
      <c r="AC124" s="108">
        <v>2067.4633333333336</v>
      </c>
      <c r="AD124" s="108">
        <v>2065.603833333334</v>
      </c>
      <c r="AE124" s="108">
        <v>1712.9285000000002</v>
      </c>
      <c r="AF124" s="108">
        <v>1812.7261666666666</v>
      </c>
      <c r="AG124" s="108">
        <v>1997.1915000000001</v>
      </c>
      <c r="AH124" s="108">
        <v>1912.2255000000002</v>
      </c>
      <c r="AI124" s="108">
        <v>2052.8983333333331</v>
      </c>
      <c r="AJ124" s="108">
        <v>1837.4543333333329</v>
      </c>
      <c r="AK124" s="108">
        <v>2085.9763333333335</v>
      </c>
      <c r="AL124" s="108">
        <v>2073.9516666666668</v>
      </c>
      <c r="AM124" s="108">
        <v>1884.2939999999999</v>
      </c>
      <c r="AN124" s="108">
        <v>2115.6080000000002</v>
      </c>
      <c r="AO124" s="108">
        <v>2098.3115000000003</v>
      </c>
      <c r="AP124" s="108">
        <v>2101.5168333333331</v>
      </c>
      <c r="AQ124" s="108">
        <v>2088.4919999999997</v>
      </c>
      <c r="AR124" s="108">
        <v>1913.846333333333</v>
      </c>
      <c r="AS124" s="108">
        <v>2027.1498333333336</v>
      </c>
      <c r="AT124" s="108">
        <v>2036.4275</v>
      </c>
      <c r="AU124" s="108">
        <v>2106.5811666666664</v>
      </c>
      <c r="AV124" s="108">
        <v>2085.5338333333339</v>
      </c>
      <c r="AW124" s="108">
        <f t="shared" si="7"/>
        <v>86.048714500000003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90625" style="108" bestFit="1" customWidth="1"/>
    <col min="3" max="3" width="15.9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90625" style="108" bestFit="1" customWidth="1"/>
    <col min="16" max="16" width="11" style="108" customWidth="1"/>
    <col min="17" max="17" width="15.453125" style="108" customWidth="1"/>
    <col min="18" max="19" width="10.90625" style="108" customWidth="1"/>
    <col min="20" max="20" width="13" style="108" customWidth="1"/>
    <col min="21" max="25" width="12.90625" style="108" customWidth="1"/>
    <col min="26" max="27" width="14.54296875" style="108" customWidth="1"/>
    <col min="28" max="29" width="15.54296875" style="108" customWidth="1"/>
    <col min="30" max="38" width="9.9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28</v>
      </c>
      <c r="R41" s="128"/>
      <c r="S41" s="128"/>
      <c r="T41" s="120">
        <f t="shared" si="0"/>
        <v>904.89400217495643</v>
      </c>
      <c r="U41" s="128">
        <f t="shared" si="1"/>
        <v>25337.032060898779</v>
      </c>
      <c r="V41" s="128">
        <f>SUMIF($F$2:F41,F41,$U$2:U41)</f>
        <v>58621.98437861618</v>
      </c>
      <c r="W41" s="118">
        <f t="shared" si="18"/>
        <v>0.53556699939332175</v>
      </c>
      <c r="X41" s="118">
        <f t="shared" si="3"/>
        <v>0.53556699939332164</v>
      </c>
      <c r="Y41" s="118">
        <f t="shared" si="4"/>
        <v>0.29156114906922515</v>
      </c>
      <c r="Z41" s="120">
        <f t="shared" si="19"/>
        <v>63.587096774193547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58621.98437861618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0.29156114906922515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58621.98437861618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0.29156114906922515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58621.98437861618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0.29156114906922515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58621.98437861618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0.29156114906922515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58621.98437861618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0.29156114906922515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58621.98437861618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0.29156114906922515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58621.98437861618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0.29156114906922515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58621.98437861618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0.29156114906922515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0AEE22-45FE-4F03-81D3-47782115A905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purl.org/dc/elements/1.1/"/>
    <ds:schemaRef ds:uri="fc7a6a76-1c0e-42c8-b8bb-e7dae130d739"/>
    <ds:schemaRef ds:uri="http://schemas.openxmlformats.org/package/2006/metadata/core-properties"/>
    <ds:schemaRef ds:uri="d16c97b0-8c68-4a48-9e8f-dd7460dbc509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Vijay Ramakant Patil</cp:lastModifiedBy>
  <cp:revision/>
  <dcterms:created xsi:type="dcterms:W3CDTF">2015-06-05T18:17:20Z</dcterms:created>
  <dcterms:modified xsi:type="dcterms:W3CDTF">2025-07-29T03:53:06Z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